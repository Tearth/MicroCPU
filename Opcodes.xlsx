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wel\Desktop\CPU\"/>
    </mc:Choice>
  </mc:AlternateContent>
  <xr:revisionPtr revIDLastSave="0" documentId="13_ncr:1_{9ADA98CA-A07E-4F92-AA0F-E041DC1EAD37}" xr6:coauthVersionLast="47" xr6:coauthVersionMax="47" xr10:uidLastSave="{00000000-0000-0000-0000-000000000000}"/>
  <bookViews>
    <workbookView xWindow="-120" yWindow="-120" windowWidth="29040" windowHeight="15840" xr2:uid="{835C4985-0918-41C3-8F6B-56730E53DE80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03" i="1" l="1"/>
  <c r="AL103" i="1"/>
  <c r="AK103" i="1"/>
  <c r="AJ103" i="1"/>
  <c r="AM102" i="1"/>
  <c r="AL102" i="1"/>
  <c r="AK102" i="1"/>
  <c r="AJ102" i="1"/>
  <c r="AM101" i="1"/>
  <c r="AL101" i="1"/>
  <c r="AK101" i="1"/>
  <c r="AJ101" i="1"/>
  <c r="AM100" i="1"/>
  <c r="AL100" i="1"/>
  <c r="AK100" i="1"/>
  <c r="AJ100" i="1"/>
  <c r="AM99" i="1"/>
  <c r="AL99" i="1"/>
  <c r="AK99" i="1"/>
  <c r="AJ99" i="1"/>
  <c r="AM98" i="1"/>
  <c r="AL98" i="1"/>
  <c r="AK98" i="1"/>
  <c r="AJ98" i="1"/>
  <c r="AM97" i="1"/>
  <c r="AL97" i="1"/>
  <c r="AK97" i="1"/>
  <c r="AJ97" i="1"/>
  <c r="AM96" i="1"/>
  <c r="AL96" i="1"/>
  <c r="AK96" i="1"/>
  <c r="AJ96" i="1"/>
  <c r="AJ31" i="1"/>
  <c r="AK31" i="1"/>
  <c r="AL31" i="1"/>
  <c r="AM31" i="1"/>
  <c r="AJ27" i="1"/>
  <c r="AK27" i="1"/>
  <c r="AL27" i="1"/>
  <c r="AM27" i="1"/>
  <c r="AJ23" i="1"/>
  <c r="AK23" i="1"/>
  <c r="AL23" i="1"/>
  <c r="AM23" i="1"/>
  <c r="AJ19" i="1"/>
  <c r="AK19" i="1"/>
  <c r="AL19" i="1"/>
  <c r="AM19" i="1"/>
  <c r="AJ16" i="1"/>
  <c r="AK16" i="1"/>
  <c r="AL16" i="1"/>
  <c r="AM16" i="1"/>
  <c r="AJ11" i="1"/>
  <c r="AK11" i="1"/>
  <c r="AL11" i="1"/>
  <c r="AM11" i="1"/>
  <c r="AJ12" i="1"/>
  <c r="AK12" i="1"/>
  <c r="AL12" i="1"/>
  <c r="AM12" i="1"/>
  <c r="AJ17" i="1"/>
  <c r="AK17" i="1"/>
  <c r="AL17" i="1"/>
  <c r="AM17" i="1"/>
  <c r="AJ95" i="1"/>
  <c r="AK95" i="1"/>
  <c r="AL95" i="1"/>
  <c r="AM95" i="1"/>
  <c r="AJ93" i="1"/>
  <c r="AK93" i="1"/>
  <c r="AL93" i="1"/>
  <c r="AM93" i="1"/>
  <c r="AJ91" i="1"/>
  <c r="AK91" i="1"/>
  <c r="AL91" i="1"/>
  <c r="AM91" i="1"/>
  <c r="AJ89" i="1"/>
  <c r="AK89" i="1"/>
  <c r="AL89" i="1"/>
  <c r="AM89" i="1"/>
  <c r="AJ87" i="1"/>
  <c r="AK87" i="1"/>
  <c r="AL87" i="1"/>
  <c r="AM87" i="1"/>
  <c r="AJ85" i="1"/>
  <c r="AK85" i="1"/>
  <c r="AL85" i="1"/>
  <c r="AM85" i="1"/>
  <c r="AJ83" i="1"/>
  <c r="AK83" i="1"/>
  <c r="AL83" i="1"/>
  <c r="AM83" i="1"/>
  <c r="AJ81" i="1"/>
  <c r="AK81" i="1"/>
  <c r="AL81" i="1"/>
  <c r="AM81" i="1"/>
  <c r="AJ79" i="1"/>
  <c r="AK79" i="1"/>
  <c r="AL79" i="1"/>
  <c r="AM79" i="1"/>
  <c r="AJ77" i="1"/>
  <c r="AK77" i="1"/>
  <c r="AL77" i="1"/>
  <c r="AM77" i="1"/>
  <c r="AJ72" i="1"/>
  <c r="AK72" i="1"/>
  <c r="AL72" i="1"/>
  <c r="AM72" i="1"/>
  <c r="AJ73" i="1"/>
  <c r="AK73" i="1"/>
  <c r="AL73" i="1"/>
  <c r="AM73" i="1"/>
  <c r="AJ74" i="1"/>
  <c r="AK74" i="1"/>
  <c r="AL74" i="1"/>
  <c r="AM74" i="1"/>
  <c r="AJ75" i="1"/>
  <c r="AK75" i="1"/>
  <c r="AL75" i="1"/>
  <c r="AM75" i="1"/>
  <c r="AJ68" i="1"/>
  <c r="AK68" i="1"/>
  <c r="AL68" i="1"/>
  <c r="AM68" i="1"/>
  <c r="AJ69" i="1"/>
  <c r="AK69" i="1"/>
  <c r="AL69" i="1"/>
  <c r="AM69" i="1"/>
  <c r="AJ70" i="1"/>
  <c r="AK70" i="1"/>
  <c r="AL70" i="1"/>
  <c r="AM70" i="1"/>
  <c r="AJ67" i="1"/>
  <c r="AK67" i="1"/>
  <c r="AL67" i="1"/>
  <c r="AM67" i="1"/>
  <c r="AJ71" i="1"/>
  <c r="AK71" i="1"/>
  <c r="AL71" i="1"/>
  <c r="AM71" i="1"/>
  <c r="AJ65" i="1"/>
  <c r="AK65" i="1"/>
  <c r="AL65" i="1"/>
  <c r="AM65" i="1"/>
  <c r="AJ60" i="1"/>
  <c r="AK60" i="1"/>
  <c r="AL60" i="1"/>
  <c r="AM60" i="1"/>
  <c r="AJ44" i="1"/>
  <c r="AK44" i="1"/>
  <c r="AL44" i="1"/>
  <c r="AM44" i="1"/>
  <c r="AJ45" i="1"/>
  <c r="AK45" i="1"/>
  <c r="AL45" i="1"/>
  <c r="AM45" i="1"/>
  <c r="AJ46" i="1"/>
  <c r="AK46" i="1"/>
  <c r="AL46" i="1"/>
  <c r="AM46" i="1"/>
  <c r="AJ47" i="1"/>
  <c r="AK47" i="1"/>
  <c r="AL47" i="1"/>
  <c r="AM47" i="1"/>
  <c r="AJ48" i="1"/>
  <c r="AK48" i="1"/>
  <c r="AL48" i="1"/>
  <c r="AM48" i="1"/>
  <c r="AJ49" i="1"/>
  <c r="AK49" i="1"/>
  <c r="AL49" i="1"/>
  <c r="AM49" i="1"/>
  <c r="AJ50" i="1"/>
  <c r="AK50" i="1"/>
  <c r="AL50" i="1"/>
  <c r="AM50" i="1"/>
  <c r="AJ51" i="1"/>
  <c r="AK51" i="1"/>
  <c r="AL51" i="1"/>
  <c r="AM51" i="1"/>
  <c r="AJ52" i="1"/>
  <c r="AK52" i="1"/>
  <c r="AL52" i="1"/>
  <c r="AM52" i="1"/>
  <c r="AJ53" i="1"/>
  <c r="AK53" i="1"/>
  <c r="AL53" i="1"/>
  <c r="AM53" i="1"/>
  <c r="AJ54" i="1"/>
  <c r="AK54" i="1"/>
  <c r="AL54" i="1"/>
  <c r="AM54" i="1"/>
  <c r="AJ55" i="1"/>
  <c r="AK55" i="1"/>
  <c r="AL55" i="1"/>
  <c r="AM55" i="1"/>
  <c r="AJ56" i="1"/>
  <c r="AK56" i="1"/>
  <c r="AL56" i="1"/>
  <c r="AM56" i="1"/>
  <c r="AJ57" i="1"/>
  <c r="AK57" i="1"/>
  <c r="AL57" i="1"/>
  <c r="AM57" i="1"/>
  <c r="AJ39" i="1"/>
  <c r="AK39" i="1"/>
  <c r="AL39" i="1"/>
  <c r="AM39" i="1"/>
  <c r="AJ35" i="1"/>
  <c r="AK35" i="1"/>
  <c r="AL35" i="1"/>
  <c r="AM35" i="1"/>
  <c r="AJ36" i="1"/>
  <c r="AK36" i="1"/>
  <c r="AL36" i="1"/>
  <c r="AM36" i="1"/>
  <c r="AJ21" i="1"/>
  <c r="AK21" i="1"/>
  <c r="AL21" i="1"/>
  <c r="AM21" i="1"/>
  <c r="AJ22" i="1"/>
  <c r="AK22" i="1"/>
  <c r="AL22" i="1"/>
  <c r="AM22" i="1"/>
  <c r="AJ24" i="1"/>
  <c r="AK24" i="1"/>
  <c r="AL24" i="1"/>
  <c r="AM24" i="1"/>
  <c r="AJ25" i="1"/>
  <c r="AK25" i="1"/>
  <c r="AL25" i="1"/>
  <c r="AM25" i="1"/>
  <c r="AJ26" i="1"/>
  <c r="AK26" i="1"/>
  <c r="AL26" i="1"/>
  <c r="AM26" i="1"/>
  <c r="AJ28" i="1"/>
  <c r="AK28" i="1"/>
  <c r="AL28" i="1"/>
  <c r="AM28" i="1"/>
  <c r="AJ29" i="1"/>
  <c r="AK29" i="1"/>
  <c r="AL29" i="1"/>
  <c r="AM29" i="1"/>
  <c r="AJ30" i="1"/>
  <c r="AK30" i="1"/>
  <c r="AL30" i="1"/>
  <c r="AM30" i="1"/>
  <c r="AJ32" i="1"/>
  <c r="AK32" i="1"/>
  <c r="AL32" i="1"/>
  <c r="AM32" i="1"/>
  <c r="AJ33" i="1"/>
  <c r="AK33" i="1"/>
  <c r="AL33" i="1"/>
  <c r="AM33" i="1"/>
  <c r="AJ34" i="1"/>
  <c r="AK34" i="1"/>
  <c r="AL34" i="1"/>
  <c r="AM34" i="1"/>
  <c r="AJ20" i="1"/>
  <c r="AK20" i="1"/>
  <c r="AL20" i="1"/>
  <c r="AM20" i="1"/>
  <c r="AJ15" i="1"/>
  <c r="AK15" i="1"/>
  <c r="AL15" i="1"/>
  <c r="AM15" i="1"/>
  <c r="AM8" i="1"/>
  <c r="AL8" i="1"/>
  <c r="AK8" i="1"/>
  <c r="AJ8" i="1"/>
  <c r="AJ9" i="1"/>
  <c r="AK9" i="1"/>
  <c r="AL9" i="1"/>
  <c r="AM9" i="1"/>
  <c r="AJ5" i="1"/>
  <c r="AK5" i="1"/>
  <c r="AL5" i="1"/>
  <c r="AM5" i="1"/>
  <c r="AJ6" i="1"/>
  <c r="AK6" i="1"/>
  <c r="AL6" i="1"/>
  <c r="AM6" i="1"/>
  <c r="AJ7" i="1"/>
  <c r="AK7" i="1"/>
  <c r="AL7" i="1"/>
  <c r="AM7" i="1"/>
  <c r="AJ10" i="1"/>
  <c r="AK10" i="1"/>
  <c r="AL10" i="1"/>
  <c r="AM10" i="1"/>
  <c r="AJ13" i="1"/>
  <c r="AK13" i="1"/>
  <c r="AL13" i="1"/>
  <c r="AM13" i="1"/>
  <c r="AJ14" i="1"/>
  <c r="AK14" i="1"/>
  <c r="AL14" i="1"/>
  <c r="AM14" i="1"/>
  <c r="AJ18" i="1"/>
  <c r="AK18" i="1"/>
  <c r="AL18" i="1"/>
  <c r="AM18" i="1"/>
  <c r="AJ37" i="1"/>
  <c r="AK37" i="1"/>
  <c r="AL37" i="1"/>
  <c r="AM37" i="1"/>
  <c r="AJ38" i="1"/>
  <c r="AK38" i="1"/>
  <c r="AL38" i="1"/>
  <c r="AM38" i="1"/>
  <c r="AJ40" i="1"/>
  <c r="AK40" i="1"/>
  <c r="AL40" i="1"/>
  <c r="AM40" i="1"/>
  <c r="AJ41" i="1"/>
  <c r="AK41" i="1"/>
  <c r="AL41" i="1"/>
  <c r="AM41" i="1"/>
  <c r="AJ42" i="1"/>
  <c r="AK42" i="1"/>
  <c r="AL42" i="1"/>
  <c r="AM42" i="1"/>
  <c r="AJ43" i="1"/>
  <c r="AK43" i="1"/>
  <c r="AL43" i="1"/>
  <c r="AM43" i="1"/>
  <c r="AJ58" i="1"/>
  <c r="AK58" i="1"/>
  <c r="AL58" i="1"/>
  <c r="AM58" i="1"/>
  <c r="AJ59" i="1"/>
  <c r="AK59" i="1"/>
  <c r="AL59" i="1"/>
  <c r="AM59" i="1"/>
  <c r="AJ61" i="1"/>
  <c r="AK61" i="1"/>
  <c r="AL61" i="1"/>
  <c r="AM61" i="1"/>
  <c r="AJ62" i="1"/>
  <c r="AK62" i="1"/>
  <c r="AL62" i="1"/>
  <c r="AM62" i="1"/>
  <c r="AJ63" i="1"/>
  <c r="AK63" i="1"/>
  <c r="AL63" i="1"/>
  <c r="AM63" i="1"/>
  <c r="AJ64" i="1"/>
  <c r="AK64" i="1"/>
  <c r="AL64" i="1"/>
  <c r="AM64" i="1"/>
  <c r="AJ66" i="1"/>
  <c r="AK66" i="1"/>
  <c r="AL66" i="1"/>
  <c r="AM66" i="1"/>
  <c r="AJ76" i="1"/>
  <c r="AK76" i="1"/>
  <c r="AL76" i="1"/>
  <c r="AM76" i="1"/>
  <c r="AJ78" i="1"/>
  <c r="AK78" i="1"/>
  <c r="AL78" i="1"/>
  <c r="AM78" i="1"/>
  <c r="AJ80" i="1"/>
  <c r="AK80" i="1"/>
  <c r="AL80" i="1"/>
  <c r="AM80" i="1"/>
  <c r="AJ82" i="1"/>
  <c r="AK82" i="1"/>
  <c r="AL82" i="1"/>
  <c r="AM82" i="1"/>
  <c r="AJ84" i="1"/>
  <c r="AK84" i="1"/>
  <c r="AL84" i="1"/>
  <c r="AM84" i="1"/>
  <c r="AJ86" i="1"/>
  <c r="AK86" i="1"/>
  <c r="AL86" i="1"/>
  <c r="AM86" i="1"/>
  <c r="AJ88" i="1"/>
  <c r="AK88" i="1"/>
  <c r="AL88" i="1"/>
  <c r="AM88" i="1"/>
  <c r="AJ90" i="1"/>
  <c r="AK90" i="1"/>
  <c r="AL90" i="1"/>
  <c r="AM90" i="1"/>
  <c r="AJ92" i="1"/>
  <c r="AK92" i="1"/>
  <c r="AL92" i="1"/>
  <c r="AM92" i="1"/>
  <c r="AJ94" i="1"/>
  <c r="AK94" i="1"/>
  <c r="AL94" i="1"/>
  <c r="AM94" i="1"/>
  <c r="AM4" i="1"/>
  <c r="AL4" i="1"/>
  <c r="AK4" i="1"/>
  <c r="AJ4" i="1"/>
</calcChain>
</file>

<file path=xl/sharedStrings.xml><?xml version="1.0" encoding="utf-8"?>
<sst xmlns="http://schemas.openxmlformats.org/spreadsheetml/2006/main" count="178" uniqueCount="140">
  <si>
    <t>PCR</t>
  </si>
  <si>
    <t>PCW</t>
  </si>
  <si>
    <t>PCI</t>
  </si>
  <si>
    <t>MAW</t>
  </si>
  <si>
    <t>IRW</t>
  </si>
  <si>
    <t>MMR</t>
  </si>
  <si>
    <t>MMW</t>
  </si>
  <si>
    <t>ARW</t>
  </si>
  <si>
    <t>BRR</t>
  </si>
  <si>
    <t>BRW</t>
  </si>
  <si>
    <t>PCR - Program Counter Read</t>
  </si>
  <si>
    <t>PCW - Program Counter Write</t>
  </si>
  <si>
    <t>PCI - Program Counter Increment</t>
  </si>
  <si>
    <t>MAW - Memory Address Read</t>
  </si>
  <si>
    <t>IRW - Instruction Register Write</t>
  </si>
  <si>
    <t>MMR - Memory Read</t>
  </si>
  <si>
    <t>MMW - Memory Write</t>
  </si>
  <si>
    <t>ARR - A Register Read</t>
  </si>
  <si>
    <t>ARW - A Register Write</t>
  </si>
  <si>
    <t>BRR - B Register Read</t>
  </si>
  <si>
    <t>BRW - B Register Write</t>
  </si>
  <si>
    <t>ARR</t>
  </si>
  <si>
    <t>Name</t>
  </si>
  <si>
    <t>FETCH</t>
  </si>
  <si>
    <t>Opcode</t>
  </si>
  <si>
    <t>RSC</t>
  </si>
  <si>
    <t>RSC - Reset Step Counter</t>
  </si>
  <si>
    <t>JMP addr</t>
  </si>
  <si>
    <t>LDA val</t>
  </si>
  <si>
    <t>LDA addr</t>
  </si>
  <si>
    <t>LDB val</t>
  </si>
  <si>
    <t>LDB addr</t>
  </si>
  <si>
    <t>STA addr</t>
  </si>
  <si>
    <t>STB addr</t>
  </si>
  <si>
    <t>LDA [addr]</t>
  </si>
  <si>
    <t>LDB [addr]</t>
  </si>
  <si>
    <t>STA [addr]</t>
  </si>
  <si>
    <t>STB [addr]</t>
  </si>
  <si>
    <t>ADD</t>
  </si>
  <si>
    <t>SUB</t>
  </si>
  <si>
    <t>AND</t>
  </si>
  <si>
    <t>OR</t>
  </si>
  <si>
    <t>NOT</t>
  </si>
  <si>
    <t>HLT</t>
  </si>
  <si>
    <t>XOR</t>
  </si>
  <si>
    <t>JNE addr</t>
  </si>
  <si>
    <t>JEQ addr</t>
  </si>
  <si>
    <t>JLE</t>
  </si>
  <si>
    <t>JG addr</t>
  </si>
  <si>
    <t>JGE addr</t>
  </si>
  <si>
    <t>JL addr</t>
  </si>
  <si>
    <t>JLE addr</t>
  </si>
  <si>
    <t>NEG</t>
  </si>
  <si>
    <t>SHL</t>
  </si>
  <si>
    <t>SHR</t>
  </si>
  <si>
    <t>0x01</t>
  </si>
  <si>
    <t>0x10</t>
  </si>
  <si>
    <t>0x11</t>
  </si>
  <si>
    <t>0x12</t>
  </si>
  <si>
    <t>0x13</t>
  </si>
  <si>
    <t>0x14</t>
  </si>
  <si>
    <t>0x15</t>
  </si>
  <si>
    <t>0x16</t>
  </si>
  <si>
    <t>0x20</t>
  </si>
  <si>
    <t>Control Word</t>
  </si>
  <si>
    <t>0x02</t>
  </si>
  <si>
    <t>0x03</t>
  </si>
  <si>
    <t>0x04</t>
  </si>
  <si>
    <t>0x05</t>
  </si>
  <si>
    <t>0x06</t>
  </si>
  <si>
    <t>0x07</t>
  </si>
  <si>
    <t>0x08</t>
  </si>
  <si>
    <t>0x09</t>
  </si>
  <si>
    <t>0x17</t>
  </si>
  <si>
    <t>0x18</t>
  </si>
  <si>
    <t>0x19</t>
  </si>
  <si>
    <t>CMP</t>
  </si>
  <si>
    <t>JEQ</t>
  </si>
  <si>
    <t>JGR</t>
  </si>
  <si>
    <t>JGQ</t>
  </si>
  <si>
    <t>JLQ</t>
  </si>
  <si>
    <t>0x0a</t>
  </si>
  <si>
    <t>0x0b</t>
  </si>
  <si>
    <t>0x0c</t>
  </si>
  <si>
    <t>0x0d</t>
  </si>
  <si>
    <t>0x0e</t>
  </si>
  <si>
    <t>0x0f</t>
  </si>
  <si>
    <t>0x1a</t>
  </si>
  <si>
    <t>0x1b</t>
  </si>
  <si>
    <t>0x1c</t>
  </si>
  <si>
    <t>0x1d</t>
  </si>
  <si>
    <t>0x1e</t>
  </si>
  <si>
    <t>JNQ</t>
  </si>
  <si>
    <t>MMR - Memor Read</t>
  </si>
  <si>
    <t>ADD - ALU Add</t>
  </si>
  <si>
    <t>SUB - ALU Sub</t>
  </si>
  <si>
    <t>NEG - ALU Negation</t>
  </si>
  <si>
    <t>JLE - Jump If Less</t>
  </si>
  <si>
    <t>JLQ - Jump If Less Or Equal</t>
  </si>
  <si>
    <t>HLT - Clock Stop</t>
  </si>
  <si>
    <t>JGQ - Jump If Greater Or Equal</t>
  </si>
  <si>
    <t>JGR - Jump If Greater</t>
  </si>
  <si>
    <t>JNQ - Jump If Not Equal</t>
  </si>
  <si>
    <t>JEQ - Jump If Equal</t>
  </si>
  <si>
    <t>SHR - Shift Right</t>
  </si>
  <si>
    <t>SHL - Shift Left</t>
  </si>
  <si>
    <t>NOT - Bitwise NOT</t>
  </si>
  <si>
    <t>XOR - Bitwise XOR</t>
  </si>
  <si>
    <t>OR - Bitwise OR</t>
  </si>
  <si>
    <t>AND - Bitwise AND</t>
  </si>
  <si>
    <t>LDA 0</t>
  </si>
  <si>
    <t>LDB 1</t>
  </si>
  <si>
    <t>LDB 10</t>
  </si>
  <si>
    <t>0x09 0x00</t>
  </si>
  <si>
    <t>0x0c 0x01</t>
  </si>
  <si>
    <t>0x0c 0xa0</t>
  </si>
  <si>
    <t>0x03 0x00</t>
  </si>
  <si>
    <t>JEQ 10</t>
  </si>
  <si>
    <t>0x04 0x02</t>
  </si>
  <si>
    <t>JNE 10</t>
  </si>
  <si>
    <t>OAW</t>
  </si>
  <si>
    <t>OBW</t>
  </si>
  <si>
    <t>OCW</t>
  </si>
  <si>
    <t>ODW</t>
  </si>
  <si>
    <t>OUTA</t>
  </si>
  <si>
    <t>OUTB</t>
  </si>
  <si>
    <t>OUTC</t>
  </si>
  <si>
    <t>OUTD</t>
  </si>
  <si>
    <t>0x1f</t>
  </si>
  <si>
    <t>OUTA 'J'</t>
  </si>
  <si>
    <t>OUTB 'E'</t>
  </si>
  <si>
    <t>OUTD 'Y'</t>
  </si>
  <si>
    <t>OUTC 'L'</t>
  </si>
  <si>
    <t>LDA 'J'</t>
  </si>
  <si>
    <t>0x09 0x64</t>
  </si>
  <si>
    <t>0x09 0x5B</t>
  </si>
  <si>
    <t>0x09 0x52</t>
  </si>
  <si>
    <t>0x09 0x2e</t>
  </si>
  <si>
    <t>JMP 0</t>
  </si>
  <si>
    <t>0x02 0x00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</si>
</sst>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5" borderId="3" xfId="0" applyFill="1" applyBorder="1"/>
    <xf numFmtId="0" fontId="0" fillId="4" borderId="3" xfId="0" applyFill="1" applyBorder="1"/>
    <xf numFmtId="0" fontId="0" fillId="3" borderId="3" xfId="0" applyFill="1" applyBorder="1"/>
    <xf numFmtId="0" fontId="0" fillId="5" borderId="2" xfId="0" applyFill="1" applyBorder="1"/>
    <xf numFmtId="0" fontId="0" fillId="4" borderId="2" xfId="0" applyFill="1" applyBorder="1"/>
    <xf numFmtId="0" fontId="0" fillId="3" borderId="2" xfId="0" applyFill="1" applyBorder="1"/>
    <xf numFmtId="0" fontId="0" fillId="4" borderId="6" xfId="0" applyFill="1" applyBorder="1"/>
    <xf numFmtId="0" fontId="0" fillId="4" borderId="7" xfId="0" applyFill="1" applyBorder="1"/>
    <xf numFmtId="0" fontId="1" fillId="2" borderId="1" xfId="0" applyFont="1" applyFill="1" applyBorder="1"/>
    <xf numFmtId="0" fontId="2" fillId="5" borderId="1" xfId="0" applyFont="1" applyFill="1" applyBorder="1"/>
    <xf numFmtId="0" fontId="0" fillId="4" borderId="8" xfId="0" applyFill="1" applyBorder="1"/>
    <xf numFmtId="0" fontId="0" fillId="4" borderId="4" xfId="0" applyFill="1" applyBorder="1"/>
    <xf numFmtId="0" fontId="0" fillId="5" borderId="4" xfId="0" applyFill="1" applyBorder="1"/>
    <xf numFmtId="0" fontId="0" fillId="5" borderId="7" xfId="0" applyFill="1" applyBorder="1"/>
    <xf numFmtId="0" fontId="0" fillId="5" borderId="5" xfId="0" applyFill="1" applyBorder="1"/>
    <xf numFmtId="0" fontId="0" fillId="4" borderId="5" xfId="0" applyFill="1" applyBorder="1"/>
    <xf numFmtId="0" fontId="0" fillId="3" borderId="5" xfId="0" applyFill="1" applyBorder="1"/>
    <xf numFmtId="0" fontId="0" fillId="3" borderId="7" xfId="0" applyFill="1" applyBorder="1"/>
    <xf numFmtId="0" fontId="0" fillId="5" borderId="6" xfId="0" applyFill="1" applyBorder="1"/>
    <xf numFmtId="0" fontId="0" fillId="3" borderId="6" xfId="0" applyFill="1" applyBorder="1"/>
    <xf numFmtId="0" fontId="1" fillId="2" borderId="1" xfId="0" applyFont="1" applyFill="1" applyBorder="1" applyAlignment="1">
      <alignment horizontal="center"/>
    </xf>
  </cellXfs>
  <cellStyles count="1">
    <cellStyle name="Normalny" xfId="0" builtinId="0"/>
  </cellStyles>
  <dxfs count="14"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41B3-2322-4437-B861-55A90CCDD839}">
  <dimension ref="B2:AO103"/>
  <sheetViews>
    <sheetView tabSelected="1" zoomScale="70" zoomScaleNormal="70" workbookViewId="0">
      <selection activeCell="AC23" sqref="AC23"/>
    </sheetView>
  </sheetViews>
  <sheetFormatPr defaultRowHeight="15" x14ac:dyDescent="0.25"/>
  <cols>
    <col min="2" max="2" width="10" bestFit="1" customWidth="1"/>
    <col min="3" max="3" width="8" bestFit="1" customWidth="1"/>
    <col min="4" max="35" width="5.5703125" customWidth="1"/>
    <col min="36" max="39" width="4.85546875" customWidth="1"/>
    <col min="41" max="41" width="30.28515625" bestFit="1" customWidth="1"/>
  </cols>
  <sheetData>
    <row r="2" spans="2:41" x14ac:dyDescent="0.25">
      <c r="AJ2" s="24" t="s">
        <v>64</v>
      </c>
      <c r="AK2" s="24"/>
      <c r="AL2" s="24"/>
      <c r="AM2" s="24"/>
    </row>
    <row r="3" spans="2:41" x14ac:dyDescent="0.25">
      <c r="B3" s="12" t="s">
        <v>22</v>
      </c>
      <c r="C3" s="12" t="s">
        <v>24</v>
      </c>
      <c r="D3" s="12" t="s">
        <v>0</v>
      </c>
      <c r="E3" s="12" t="s">
        <v>1</v>
      </c>
      <c r="F3" s="12" t="s">
        <v>2</v>
      </c>
      <c r="G3" s="12" t="s">
        <v>3</v>
      </c>
      <c r="H3" s="12" t="s">
        <v>4</v>
      </c>
      <c r="I3" s="12" t="s">
        <v>5</v>
      </c>
      <c r="J3" s="12" t="s">
        <v>6</v>
      </c>
      <c r="K3" s="12" t="s">
        <v>21</v>
      </c>
      <c r="L3" s="12" t="s">
        <v>7</v>
      </c>
      <c r="M3" s="12" t="s">
        <v>8</v>
      </c>
      <c r="N3" s="12" t="s">
        <v>9</v>
      </c>
      <c r="O3" s="12" t="s">
        <v>38</v>
      </c>
      <c r="P3" s="12" t="s">
        <v>39</v>
      </c>
      <c r="Q3" s="12" t="s">
        <v>52</v>
      </c>
      <c r="R3" s="12" t="s">
        <v>40</v>
      </c>
      <c r="S3" s="12" t="s">
        <v>41</v>
      </c>
      <c r="T3" s="12" t="s">
        <v>44</v>
      </c>
      <c r="U3" s="12" t="s">
        <v>42</v>
      </c>
      <c r="V3" s="12" t="s">
        <v>53</v>
      </c>
      <c r="W3" s="12" t="s">
        <v>54</v>
      </c>
      <c r="X3" s="12" t="s">
        <v>120</v>
      </c>
      <c r="Y3" s="12" t="s">
        <v>121</v>
      </c>
      <c r="Z3" s="12" t="s">
        <v>122</v>
      </c>
      <c r="AA3" s="12" t="s">
        <v>123</v>
      </c>
      <c r="AB3" s="12" t="s">
        <v>77</v>
      </c>
      <c r="AC3" s="12" t="s">
        <v>92</v>
      </c>
      <c r="AD3" s="12" t="s">
        <v>78</v>
      </c>
      <c r="AE3" s="12" t="s">
        <v>79</v>
      </c>
      <c r="AF3" s="12" t="s">
        <v>47</v>
      </c>
      <c r="AG3" s="12" t="s">
        <v>80</v>
      </c>
      <c r="AH3" s="12" t="s">
        <v>25</v>
      </c>
      <c r="AI3" s="12" t="s">
        <v>43</v>
      </c>
      <c r="AJ3" s="12">
        <v>1</v>
      </c>
      <c r="AK3" s="12">
        <v>2</v>
      </c>
      <c r="AL3" s="12">
        <v>3</v>
      </c>
      <c r="AM3" s="12">
        <v>4</v>
      </c>
      <c r="AO3" t="s">
        <v>10</v>
      </c>
    </row>
    <row r="4" spans="2:41" x14ac:dyDescent="0.25">
      <c r="B4" s="13" t="s">
        <v>23</v>
      </c>
      <c r="C4" s="13"/>
      <c r="D4" s="1">
        <v>1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2" t="str">
        <f>"0x" &amp; DEC2HEX(BIN2DEC(_xlfn.TEXTJOIN("",FALSE,D4,E4,F4,G4,H4,I4,J4,K4)))</f>
        <v>0x90</v>
      </c>
      <c r="AK4" s="2" t="str">
        <f>"0x" &amp; DEC2HEX(BIN2DEC(_xlfn.TEXTJOIN("",FALSE,L4,M4,N4,O4,P4,Q4,R4,S4)))</f>
        <v>0x0</v>
      </c>
      <c r="AL4" s="2" t="str">
        <f>"0x" &amp; DEC2HEX(BIN2DEC(_xlfn.TEXTJOIN("",FALSE,T4,U4,V4,W4,X4,Y4,Z4,AA4)))</f>
        <v>0x0</v>
      </c>
      <c r="AM4" s="2" t="str">
        <f>"0x" &amp; DEC2HEX(BIN2DEC(_xlfn.TEXTJOIN("",FALSE,AB4,AC4,AD4,AE4,AF4,AG4,AH4,AI4)))</f>
        <v>0x0</v>
      </c>
      <c r="AO4" t="s">
        <v>11</v>
      </c>
    </row>
    <row r="5" spans="2:41" ht="15.75" thickBot="1" x14ac:dyDescent="0.3">
      <c r="B5" s="7"/>
      <c r="C5" s="7"/>
      <c r="D5" s="8">
        <v>0</v>
      </c>
      <c r="E5" s="8">
        <v>0</v>
      </c>
      <c r="F5" s="8">
        <v>1</v>
      </c>
      <c r="G5" s="8">
        <v>0</v>
      </c>
      <c r="H5" s="8">
        <v>1</v>
      </c>
      <c r="I5" s="8">
        <v>1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9" t="str">
        <f t="shared" ref="AJ5:AJ92" si="0">"0x" &amp; DEC2HEX(BIN2DEC(_xlfn.TEXTJOIN("",FALSE,D5,E5,F5,G5,H5,I5,J5,K5)))</f>
        <v>0x2C</v>
      </c>
      <c r="AK5" s="9" t="str">
        <f t="shared" ref="AK5:AK92" si="1">"0x" &amp; DEC2HEX(BIN2DEC(_xlfn.TEXTJOIN("",FALSE,L5,M5,N5,O5,P5,Q5,R5,S5)))</f>
        <v>0x0</v>
      </c>
      <c r="AL5" s="9" t="str">
        <f t="shared" ref="AL5:AL92" si="2">"0x" &amp; DEC2HEX(BIN2DEC(_xlfn.TEXTJOIN("",FALSE,T5,U5,V5,W5,X5,Y5,Z5,AA5)))</f>
        <v>0x0</v>
      </c>
      <c r="AM5" s="9" t="str">
        <f t="shared" ref="AM5:AM92" si="3">"0x" &amp; DEC2HEX(BIN2DEC(_xlfn.TEXTJOIN("",FALSE,AB5,AC5,AD5,AE5,AF5,AG5,AH5,AI5)))</f>
        <v>0x0</v>
      </c>
      <c r="AO5" t="s">
        <v>12</v>
      </c>
    </row>
    <row r="6" spans="2:41" ht="15.75" thickBot="1" x14ac:dyDescent="0.3">
      <c r="B6" s="18" t="s">
        <v>43</v>
      </c>
      <c r="C6" s="18" t="s">
        <v>55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1</v>
      </c>
      <c r="AJ6" s="20" t="str">
        <f t="shared" si="0"/>
        <v>0x0</v>
      </c>
      <c r="AK6" s="20" t="str">
        <f t="shared" si="1"/>
        <v>0x0</v>
      </c>
      <c r="AL6" s="20" t="str">
        <f t="shared" si="2"/>
        <v>0x0</v>
      </c>
      <c r="AM6" s="20" t="str">
        <f t="shared" si="3"/>
        <v>0x1</v>
      </c>
      <c r="AO6" t="s">
        <v>13</v>
      </c>
    </row>
    <row r="7" spans="2:41" x14ac:dyDescent="0.25">
      <c r="B7" s="16" t="s">
        <v>27</v>
      </c>
      <c r="C7" s="16" t="s">
        <v>65</v>
      </c>
      <c r="D7" s="14">
        <v>1</v>
      </c>
      <c r="E7" s="14">
        <v>0</v>
      </c>
      <c r="F7" s="14">
        <v>0</v>
      </c>
      <c r="G7" s="14">
        <v>1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5">
        <v>0</v>
      </c>
      <c r="Y7" s="5">
        <v>0</v>
      </c>
      <c r="Z7" s="5">
        <v>0</v>
      </c>
      <c r="AA7" s="5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1">
        <v>0</v>
      </c>
      <c r="AJ7" s="6" t="str">
        <f t="shared" si="0"/>
        <v>0x90</v>
      </c>
      <c r="AK7" s="6" t="str">
        <f t="shared" si="1"/>
        <v>0x0</v>
      </c>
      <c r="AL7" s="6" t="str">
        <f t="shared" si="2"/>
        <v>0x0</v>
      </c>
      <c r="AM7" s="6" t="str">
        <f t="shared" si="3"/>
        <v>0x0</v>
      </c>
      <c r="AO7" t="s">
        <v>14</v>
      </c>
    </row>
    <row r="8" spans="2:41" x14ac:dyDescent="0.25">
      <c r="B8" s="3"/>
      <c r="C8" s="3"/>
      <c r="D8" s="1">
        <v>0</v>
      </c>
      <c r="E8" s="1">
        <v>1</v>
      </c>
      <c r="F8" s="1">
        <v>0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2" t="str">
        <f t="shared" ref="AJ8" si="4">"0x" &amp; DEC2HEX(BIN2DEC(_xlfn.TEXTJOIN("",FALSE,D8,E8,F8,G8,H8,I8,J8,K8)))</f>
        <v>0x44</v>
      </c>
      <c r="AK8" s="2" t="str">
        <f t="shared" ref="AK8" si="5">"0x" &amp; DEC2HEX(BIN2DEC(_xlfn.TEXTJOIN("",FALSE,L8,M8,N8,O8,P8,Q8,R8,S8)))</f>
        <v>0x0</v>
      </c>
      <c r="AL8" s="2" t="str">
        <f t="shared" ref="AL8" si="6">"0x" &amp; DEC2HEX(BIN2DEC(_xlfn.TEXTJOIN("",FALSE,T8,U8,V8,W8,X8,Y8,Z8,AA8)))</f>
        <v>0x0</v>
      </c>
      <c r="AM8" s="2" t="str">
        <f t="shared" ref="AM8" si="7">"0x" &amp; DEC2HEX(BIN2DEC(_xlfn.TEXTJOIN("",FALSE,AB8,AC8,AD8,AE8,AF8,AG8,AH8,AI8)))</f>
        <v>0x0</v>
      </c>
      <c r="AO8" t="s">
        <v>93</v>
      </c>
    </row>
    <row r="9" spans="2:41" ht="15.75" thickBot="1" x14ac:dyDescent="0.3">
      <c r="B9" s="22"/>
      <c r="C9" s="22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1</v>
      </c>
      <c r="AI9" s="10">
        <v>0</v>
      </c>
      <c r="AJ9" s="23" t="str">
        <f t="shared" si="0"/>
        <v>0x0</v>
      </c>
      <c r="AK9" s="23" t="str">
        <f t="shared" si="1"/>
        <v>0x0</v>
      </c>
      <c r="AL9" s="23" t="str">
        <f t="shared" si="2"/>
        <v>0x0</v>
      </c>
      <c r="AM9" s="23" t="str">
        <f t="shared" si="3"/>
        <v>0x2</v>
      </c>
      <c r="AO9" t="s">
        <v>16</v>
      </c>
    </row>
    <row r="10" spans="2:41" x14ac:dyDescent="0.25">
      <c r="B10" s="4" t="s">
        <v>46</v>
      </c>
      <c r="C10" s="4" t="s">
        <v>66</v>
      </c>
      <c r="D10" s="5">
        <v>1</v>
      </c>
      <c r="E10" s="5">
        <v>0</v>
      </c>
      <c r="F10" s="5">
        <v>0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6" t="str">
        <f t="shared" si="0"/>
        <v>0x90</v>
      </c>
      <c r="AK10" s="6" t="str">
        <f t="shared" si="1"/>
        <v>0x0</v>
      </c>
      <c r="AL10" s="6" t="str">
        <f t="shared" si="2"/>
        <v>0x0</v>
      </c>
      <c r="AM10" s="6" t="str">
        <f t="shared" si="3"/>
        <v>0x0</v>
      </c>
      <c r="AO10" t="s">
        <v>15</v>
      </c>
    </row>
    <row r="11" spans="2:41" x14ac:dyDescent="0.25">
      <c r="B11" s="17"/>
      <c r="C11" s="17"/>
      <c r="D11" s="1">
        <v>0</v>
      </c>
      <c r="E11" s="5">
        <v>0</v>
      </c>
      <c r="F11" s="11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6" t="str">
        <f t="shared" ref="AJ11:AJ12" si="8">"0x" &amp; DEC2HEX(BIN2DEC(_xlfn.TEXTJOIN("",FALSE,D11,E11,F11,G11,H11,I11,J11,K11)))</f>
        <v>0x20</v>
      </c>
      <c r="AK11" s="6" t="str">
        <f t="shared" ref="AK11:AK12" si="9">"0x" &amp; DEC2HEX(BIN2DEC(_xlfn.TEXTJOIN("",FALSE,L11,M11,N11,O11,P11,Q11,R11,S11)))</f>
        <v>0x0</v>
      </c>
      <c r="AL11" s="6" t="str">
        <f t="shared" ref="AL11:AL12" si="10">"0x" &amp; DEC2HEX(BIN2DEC(_xlfn.TEXTJOIN("",FALSE,T11,U11,V11,W11,X11,Y11,Z11,AA11)))</f>
        <v>0x0</v>
      </c>
      <c r="AM11" s="6" t="str">
        <f t="shared" ref="AM11:AM12" si="11">"0x" &amp; DEC2HEX(BIN2DEC(_xlfn.TEXTJOIN("",FALSE,AB11,AC11,AD11,AE11,AF11,AG11,AH11,AI11)))</f>
        <v>0x0</v>
      </c>
      <c r="AO11" t="s">
        <v>16</v>
      </c>
    </row>
    <row r="12" spans="2:41" x14ac:dyDescent="0.25">
      <c r="B12" s="3"/>
      <c r="C12" s="3"/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6" t="str">
        <f t="shared" si="8"/>
        <v>0x44</v>
      </c>
      <c r="AK12" s="6" t="str">
        <f t="shared" si="9"/>
        <v>0x0</v>
      </c>
      <c r="AL12" s="6" t="str">
        <f t="shared" si="10"/>
        <v>0x0</v>
      </c>
      <c r="AM12" s="6" t="str">
        <f t="shared" si="11"/>
        <v>0x80</v>
      </c>
      <c r="AO12" t="s">
        <v>17</v>
      </c>
    </row>
    <row r="13" spans="2:41" ht="15.75" thickBot="1" x14ac:dyDescent="0.3">
      <c r="B13" s="22"/>
      <c r="C13" s="22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9" t="str">
        <f t="shared" si="0"/>
        <v>0x0</v>
      </c>
      <c r="AK13" s="9" t="str">
        <f t="shared" si="1"/>
        <v>0x0</v>
      </c>
      <c r="AL13" s="9" t="str">
        <f t="shared" si="2"/>
        <v>0x0</v>
      </c>
      <c r="AM13" s="9" t="str">
        <f t="shared" si="3"/>
        <v>0x2</v>
      </c>
      <c r="AO13" t="s">
        <v>18</v>
      </c>
    </row>
    <row r="14" spans="2:41" x14ac:dyDescent="0.25">
      <c r="B14" s="4" t="s">
        <v>45</v>
      </c>
      <c r="C14" s="4" t="s">
        <v>67</v>
      </c>
      <c r="D14" s="5">
        <v>1</v>
      </c>
      <c r="E14" s="5">
        <v>0</v>
      </c>
      <c r="F14" s="5">
        <v>0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6" t="str">
        <f t="shared" si="0"/>
        <v>0x90</v>
      </c>
      <c r="AK14" s="6" t="str">
        <f t="shared" si="1"/>
        <v>0x0</v>
      </c>
      <c r="AL14" s="6" t="str">
        <f t="shared" si="2"/>
        <v>0x0</v>
      </c>
      <c r="AM14" s="6" t="str">
        <f t="shared" si="3"/>
        <v>0x0</v>
      </c>
      <c r="AO14" t="s">
        <v>19</v>
      </c>
    </row>
    <row r="15" spans="2:41" x14ac:dyDescent="0.25">
      <c r="B15" s="3"/>
      <c r="C15" s="3"/>
      <c r="D15" s="1">
        <v>0</v>
      </c>
      <c r="E15" s="1">
        <v>0</v>
      </c>
      <c r="F15" s="11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6" t="str">
        <f>"0x" &amp; DEC2HEX(BIN2DEC(_xlfn.TEXTJOIN("",FALSE,D15,E16,F16,G16,H16,I16,J16,K16)))</f>
        <v>0x44</v>
      </c>
      <c r="AK15" s="6" t="str">
        <f>"0x" &amp; DEC2HEX(BIN2DEC(_xlfn.TEXTJOIN("",FALSE,L16,M16,N16,O16,P16,Q16,R16,S16)))</f>
        <v>0x0</v>
      </c>
      <c r="AL15" s="6" t="str">
        <f>"0x" &amp; DEC2HEX(BIN2DEC(_xlfn.TEXTJOIN("",FALSE,T16,U16,V16,W16,X16,Y16,Z16,AA16)))</f>
        <v>0x0</v>
      </c>
      <c r="AM15" s="6" t="str">
        <f>"0x" &amp; DEC2HEX(BIN2DEC(_xlfn.TEXTJOIN("",FALSE,AB16,AC16,AD15,AE15,AF15,AG15,AH15,AI15)))</f>
        <v>0x40</v>
      </c>
      <c r="AO15" t="s">
        <v>20</v>
      </c>
    </row>
    <row r="16" spans="2:41" x14ac:dyDescent="0.25">
      <c r="B16" s="3"/>
      <c r="C16" s="3"/>
      <c r="D16" s="1">
        <v>0</v>
      </c>
      <c r="E16" s="1">
        <v>1</v>
      </c>
      <c r="F16" s="1">
        <v>0</v>
      </c>
      <c r="G16" s="1">
        <v>0</v>
      </c>
      <c r="H16" s="1">
        <v>0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6" t="str">
        <f>"0x" &amp; DEC2HEX(BIN2DEC(_xlfn.TEXTJOIN("",FALSE,D16,E17,F17,G17,H17,I17,J17,K17)))</f>
        <v>0x0</v>
      </c>
      <c r="AK16" s="6" t="str">
        <f>"0x" &amp; DEC2HEX(BIN2DEC(_xlfn.TEXTJOIN("",FALSE,L17,M17,N17,O17,P17,Q17,R17,S17)))</f>
        <v>0x0</v>
      </c>
      <c r="AL16" s="6" t="str">
        <f>"0x" &amp; DEC2HEX(BIN2DEC(_xlfn.TEXTJOIN("",FALSE,T17,U17,V17,W17,X17,Y17,Z17,AA17)))</f>
        <v>0x0</v>
      </c>
      <c r="AM16" s="6" t="str">
        <f>"0x" &amp; DEC2HEX(BIN2DEC(_xlfn.TEXTJOIN("",FALSE,AB17,AC17,AD16,AE16,AF16,AG16,AH16,AI16)))</f>
        <v>0x0</v>
      </c>
      <c r="AO16" t="s">
        <v>94</v>
      </c>
    </row>
    <row r="17" spans="2:41" ht="15.75" thickBot="1" x14ac:dyDescent="0.3">
      <c r="B17" s="22"/>
      <c r="C17" s="22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1</v>
      </c>
      <c r="AI17" s="10">
        <v>0</v>
      </c>
      <c r="AJ17" s="23" t="str">
        <f t="shared" si="0"/>
        <v>0x0</v>
      </c>
      <c r="AK17" s="23" t="str">
        <f t="shared" si="1"/>
        <v>0x0</v>
      </c>
      <c r="AL17" s="23" t="str">
        <f t="shared" si="2"/>
        <v>0x0</v>
      </c>
      <c r="AM17" s="23" t="str">
        <f t="shared" si="3"/>
        <v>0x2</v>
      </c>
      <c r="AO17" t="s">
        <v>95</v>
      </c>
    </row>
    <row r="18" spans="2:41" x14ac:dyDescent="0.25">
      <c r="B18" s="16" t="s">
        <v>48</v>
      </c>
      <c r="C18" s="16" t="s">
        <v>68</v>
      </c>
      <c r="D18" s="15">
        <v>1</v>
      </c>
      <c r="E18" s="15">
        <v>0</v>
      </c>
      <c r="F18" s="15">
        <v>0</v>
      </c>
      <c r="G18" s="15">
        <v>1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5">
        <v>0</v>
      </c>
      <c r="Y18" s="5">
        <v>0</v>
      </c>
      <c r="Z18" s="5">
        <v>0</v>
      </c>
      <c r="AA18" s="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5">
        <v>0</v>
      </c>
      <c r="AJ18" s="6" t="str">
        <f t="shared" si="0"/>
        <v>0x90</v>
      </c>
      <c r="AK18" s="6" t="str">
        <f t="shared" si="1"/>
        <v>0x0</v>
      </c>
      <c r="AL18" s="6" t="str">
        <f t="shared" si="2"/>
        <v>0x0</v>
      </c>
      <c r="AM18" s="6" t="str">
        <f t="shared" si="3"/>
        <v>0x0</v>
      </c>
      <c r="AO18" t="s">
        <v>96</v>
      </c>
    </row>
    <row r="19" spans="2:41" x14ac:dyDescent="0.25">
      <c r="B19" s="4"/>
      <c r="C19" s="4"/>
      <c r="D19" s="5">
        <v>0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6" t="str">
        <f t="shared" si="0"/>
        <v>0x20</v>
      </c>
      <c r="AK19" s="6" t="str">
        <f t="shared" si="1"/>
        <v>0x0</v>
      </c>
      <c r="AL19" s="6" t="str">
        <f t="shared" si="2"/>
        <v>0x0</v>
      </c>
      <c r="AM19" s="6" t="str">
        <f t="shared" si="3"/>
        <v>0x0</v>
      </c>
      <c r="AO19" t="s">
        <v>109</v>
      </c>
    </row>
    <row r="20" spans="2:41" x14ac:dyDescent="0.25">
      <c r="B20" s="3"/>
      <c r="C20" s="3"/>
      <c r="D20" s="1">
        <v>0</v>
      </c>
      <c r="E20" s="1">
        <v>1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6" t="str">
        <f t="shared" ref="AJ20" si="12">"0x" &amp; DEC2HEX(BIN2DEC(_xlfn.TEXTJOIN("",FALSE,D20,E20,F20,G20,H20,I20,J20,K20)))</f>
        <v>0x44</v>
      </c>
      <c r="AK20" s="6" t="str">
        <f t="shared" ref="AK20" si="13">"0x" &amp; DEC2HEX(BIN2DEC(_xlfn.TEXTJOIN("",FALSE,L20,M20,N20,O20,P20,Q20,R20,S20)))</f>
        <v>0x0</v>
      </c>
      <c r="AL20" s="6" t="str">
        <f t="shared" ref="AL20" si="14">"0x" &amp; DEC2HEX(BIN2DEC(_xlfn.TEXTJOIN("",FALSE,T20,U20,V20,W20,X20,Y20,Z20,AA20)))</f>
        <v>0x0</v>
      </c>
      <c r="AM20" s="6" t="str">
        <f t="shared" ref="AM20" si="15">"0x" &amp; DEC2HEX(BIN2DEC(_xlfn.TEXTJOIN("",FALSE,AB20,AC20,AD20,AE20,AF20,AG20,AH20,AI20)))</f>
        <v>0x20</v>
      </c>
      <c r="AO20" t="s">
        <v>108</v>
      </c>
    </row>
    <row r="21" spans="2:41" ht="15.75" thickBot="1" x14ac:dyDescent="0.3">
      <c r="B21" s="22"/>
      <c r="C21" s="22"/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1</v>
      </c>
      <c r="AI21" s="10">
        <v>0</v>
      </c>
      <c r="AJ21" s="9" t="str">
        <f t="shared" ref="AJ21:AJ34" si="16">"0x" &amp; DEC2HEX(BIN2DEC(_xlfn.TEXTJOIN("",FALSE,D21,E21,F21,G21,H21,I21,J21,K21)))</f>
        <v>0x0</v>
      </c>
      <c r="AK21" s="9" t="str">
        <f t="shared" ref="AK21:AK34" si="17">"0x" &amp; DEC2HEX(BIN2DEC(_xlfn.TEXTJOIN("",FALSE,L21,M21,N21,O21,P21,Q21,R21,S21)))</f>
        <v>0x0</v>
      </c>
      <c r="AL21" s="9" t="str">
        <f t="shared" ref="AL21:AL34" si="18">"0x" &amp; DEC2HEX(BIN2DEC(_xlfn.TEXTJOIN("",FALSE,T21,U21,V21,W21,X21,Y21,Z21,AA21)))</f>
        <v>0x0</v>
      </c>
      <c r="AM21" s="9" t="str">
        <f t="shared" ref="AM21:AM34" si="19">"0x" &amp; DEC2HEX(BIN2DEC(_xlfn.TEXTJOIN("",FALSE,AB21,AC21,AD21,AE21,AF21,AG21,AH21,AI21)))</f>
        <v>0x2</v>
      </c>
      <c r="AO21" t="s">
        <v>107</v>
      </c>
    </row>
    <row r="22" spans="2:41" x14ac:dyDescent="0.25">
      <c r="B22" s="4" t="s">
        <v>49</v>
      </c>
      <c r="C22" s="4" t="s">
        <v>69</v>
      </c>
      <c r="D22" s="5">
        <v>1</v>
      </c>
      <c r="E22" s="5">
        <v>0</v>
      </c>
      <c r="F22" s="5">
        <v>0</v>
      </c>
      <c r="G22" s="5">
        <v>1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6" t="str">
        <f t="shared" si="16"/>
        <v>0x90</v>
      </c>
      <c r="AK22" s="6" t="str">
        <f t="shared" si="17"/>
        <v>0x0</v>
      </c>
      <c r="AL22" s="6" t="str">
        <f t="shared" si="18"/>
        <v>0x0</v>
      </c>
      <c r="AM22" s="6" t="str">
        <f t="shared" si="19"/>
        <v>0x0</v>
      </c>
      <c r="AO22" t="s">
        <v>106</v>
      </c>
    </row>
    <row r="23" spans="2:41" x14ac:dyDescent="0.25">
      <c r="B23" s="4"/>
      <c r="C23" s="4"/>
      <c r="D23" s="5">
        <v>0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6" t="str">
        <f t="shared" ref="AJ23" si="20">"0x" &amp; DEC2HEX(BIN2DEC(_xlfn.TEXTJOIN("",FALSE,D23,E23,F23,G23,H23,I23,J23,K23)))</f>
        <v>0x20</v>
      </c>
      <c r="AK23" s="6" t="str">
        <f t="shared" ref="AK23" si="21">"0x" &amp; DEC2HEX(BIN2DEC(_xlfn.TEXTJOIN("",FALSE,L23,M23,N23,O23,P23,Q23,R23,S23)))</f>
        <v>0x0</v>
      </c>
      <c r="AL23" s="6" t="str">
        <f t="shared" ref="AL23" si="22">"0x" &amp; DEC2HEX(BIN2DEC(_xlfn.TEXTJOIN("",FALSE,T23,U23,V23,W23,X23,Y23,Z23,AA23)))</f>
        <v>0x0</v>
      </c>
      <c r="AM23" s="6" t="str">
        <f t="shared" ref="AM23" si="23">"0x" &amp; DEC2HEX(BIN2DEC(_xlfn.TEXTJOIN("",FALSE,AB23,AC23,AD23,AE23,AF23,AG23,AH23,AI23)))</f>
        <v>0x0</v>
      </c>
      <c r="AO23" t="s">
        <v>105</v>
      </c>
    </row>
    <row r="24" spans="2:41" x14ac:dyDescent="0.25">
      <c r="B24" s="3"/>
      <c r="C24" s="3"/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1</v>
      </c>
      <c r="AF24" s="1">
        <v>0</v>
      </c>
      <c r="AG24" s="1">
        <v>0</v>
      </c>
      <c r="AH24" s="1">
        <v>0</v>
      </c>
      <c r="AI24" s="1">
        <v>0</v>
      </c>
      <c r="AJ24" s="6" t="str">
        <f t="shared" si="16"/>
        <v>0x44</v>
      </c>
      <c r="AK24" s="6" t="str">
        <f t="shared" si="17"/>
        <v>0x0</v>
      </c>
      <c r="AL24" s="6" t="str">
        <f t="shared" si="18"/>
        <v>0x0</v>
      </c>
      <c r="AM24" s="6" t="str">
        <f t="shared" si="19"/>
        <v>0x10</v>
      </c>
      <c r="AO24" t="s">
        <v>104</v>
      </c>
    </row>
    <row r="25" spans="2:41" ht="15.75" thickBot="1" x14ac:dyDescent="0.3">
      <c r="B25" s="22"/>
      <c r="C25" s="22"/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1</v>
      </c>
      <c r="AI25" s="10">
        <v>0</v>
      </c>
      <c r="AJ25" s="9" t="str">
        <f t="shared" si="16"/>
        <v>0x0</v>
      </c>
      <c r="AK25" s="9" t="str">
        <f t="shared" si="17"/>
        <v>0x0</v>
      </c>
      <c r="AL25" s="9" t="str">
        <f t="shared" si="18"/>
        <v>0x0</v>
      </c>
      <c r="AM25" s="9" t="str">
        <f t="shared" si="19"/>
        <v>0x2</v>
      </c>
      <c r="AO25" t="s">
        <v>103</v>
      </c>
    </row>
    <row r="26" spans="2:41" x14ac:dyDescent="0.25">
      <c r="B26" s="17" t="s">
        <v>50</v>
      </c>
      <c r="C26" s="17" t="s">
        <v>70</v>
      </c>
      <c r="D26" s="11">
        <v>1</v>
      </c>
      <c r="E26" s="11">
        <v>0</v>
      </c>
      <c r="F26" s="11">
        <v>0</v>
      </c>
      <c r="G26" s="11">
        <v>1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21" t="str">
        <f t="shared" si="16"/>
        <v>0x90</v>
      </c>
      <c r="AK26" s="21" t="str">
        <f t="shared" si="17"/>
        <v>0x0</v>
      </c>
      <c r="AL26" s="21" t="str">
        <f t="shared" si="18"/>
        <v>0x0</v>
      </c>
      <c r="AM26" s="21" t="str">
        <f t="shared" si="19"/>
        <v>0x0</v>
      </c>
      <c r="AO26" t="s">
        <v>102</v>
      </c>
    </row>
    <row r="27" spans="2:41" x14ac:dyDescent="0.25">
      <c r="B27" s="3"/>
      <c r="C27" s="3"/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2" t="str">
        <f t="shared" ref="AJ27" si="24">"0x" &amp; DEC2HEX(BIN2DEC(_xlfn.TEXTJOIN("",FALSE,D27,E27,F27,G27,H27,I27,J27,K27)))</f>
        <v>0x20</v>
      </c>
      <c r="AK27" s="2" t="str">
        <f t="shared" ref="AK27" si="25">"0x" &amp; DEC2HEX(BIN2DEC(_xlfn.TEXTJOIN("",FALSE,L27,M27,N27,O27,P27,Q27,R27,S27)))</f>
        <v>0x0</v>
      </c>
      <c r="AL27" s="2" t="str">
        <f t="shared" ref="AL27" si="26">"0x" &amp; DEC2HEX(BIN2DEC(_xlfn.TEXTJOIN("",FALSE,T27,U27,V27,W27,X27,Y27,Z27,AA27)))</f>
        <v>0x0</v>
      </c>
      <c r="AM27" s="2" t="str">
        <f t="shared" ref="AM27" si="27">"0x" &amp; DEC2HEX(BIN2DEC(_xlfn.TEXTJOIN("",FALSE,AB27,AC27,AD27,AE27,AF27,AG27,AH27,AI27)))</f>
        <v>0x0</v>
      </c>
      <c r="AO27" t="s">
        <v>101</v>
      </c>
    </row>
    <row r="28" spans="2:41" x14ac:dyDescent="0.25">
      <c r="B28" s="3"/>
      <c r="C28" s="3"/>
      <c r="D28" s="1">
        <v>0</v>
      </c>
      <c r="E28" s="1">
        <v>1</v>
      </c>
      <c r="F28" s="1">
        <v>0</v>
      </c>
      <c r="G28" s="1">
        <v>0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0</v>
      </c>
      <c r="AH28" s="1">
        <v>0</v>
      </c>
      <c r="AI28" s="1">
        <v>0</v>
      </c>
      <c r="AJ28" s="2" t="str">
        <f t="shared" si="16"/>
        <v>0x44</v>
      </c>
      <c r="AK28" s="2" t="str">
        <f t="shared" si="17"/>
        <v>0x0</v>
      </c>
      <c r="AL28" s="2" t="str">
        <f t="shared" si="18"/>
        <v>0x0</v>
      </c>
      <c r="AM28" s="2" t="str">
        <f t="shared" si="19"/>
        <v>0x8</v>
      </c>
      <c r="AO28" t="s">
        <v>100</v>
      </c>
    </row>
    <row r="29" spans="2:41" ht="15.75" thickBot="1" x14ac:dyDescent="0.3">
      <c r="B29" s="22"/>
      <c r="C29" s="22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1</v>
      </c>
      <c r="AI29" s="10">
        <v>0</v>
      </c>
      <c r="AJ29" s="23" t="str">
        <f t="shared" si="16"/>
        <v>0x0</v>
      </c>
      <c r="AK29" s="23" t="str">
        <f t="shared" si="17"/>
        <v>0x0</v>
      </c>
      <c r="AL29" s="23" t="str">
        <f t="shared" si="18"/>
        <v>0x0</v>
      </c>
      <c r="AM29" s="23" t="str">
        <f t="shared" si="19"/>
        <v>0x2</v>
      </c>
      <c r="AO29" t="s">
        <v>97</v>
      </c>
    </row>
    <row r="30" spans="2:41" x14ac:dyDescent="0.25">
      <c r="B30" s="4" t="s">
        <v>51</v>
      </c>
      <c r="C30" s="4" t="s">
        <v>71</v>
      </c>
      <c r="D30" s="5">
        <v>1</v>
      </c>
      <c r="E30" s="5">
        <v>0</v>
      </c>
      <c r="F30" s="5">
        <v>0</v>
      </c>
      <c r="G30" s="5">
        <v>1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6" t="str">
        <f t="shared" si="16"/>
        <v>0x90</v>
      </c>
      <c r="AK30" s="6" t="str">
        <f t="shared" si="17"/>
        <v>0x0</v>
      </c>
      <c r="AL30" s="6" t="str">
        <f t="shared" si="18"/>
        <v>0x0</v>
      </c>
      <c r="AM30" s="6" t="str">
        <f t="shared" si="19"/>
        <v>0x0</v>
      </c>
      <c r="AO30" t="s">
        <v>98</v>
      </c>
    </row>
    <row r="31" spans="2:41" x14ac:dyDescent="0.25">
      <c r="B31" s="4"/>
      <c r="C31" s="4"/>
      <c r="D31" s="5">
        <v>0</v>
      </c>
      <c r="E31" s="5">
        <v>0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6" t="str">
        <f t="shared" ref="AJ31" si="28">"0x" &amp; DEC2HEX(BIN2DEC(_xlfn.TEXTJOIN("",FALSE,D31,E31,F31,G31,H31,I31,J31,K31)))</f>
        <v>0x20</v>
      </c>
      <c r="AK31" s="6" t="str">
        <f t="shared" ref="AK31" si="29">"0x" &amp; DEC2HEX(BIN2DEC(_xlfn.TEXTJOIN("",FALSE,L31,M31,N31,O31,P31,Q31,R31,S31)))</f>
        <v>0x0</v>
      </c>
      <c r="AL31" s="6" t="str">
        <f t="shared" ref="AL31" si="30">"0x" &amp; DEC2HEX(BIN2DEC(_xlfn.TEXTJOIN("",FALSE,T31,U31,V31,W31,X31,Y31,Z31,AA31)))</f>
        <v>0x0</v>
      </c>
      <c r="AM31" s="6" t="str">
        <f t="shared" ref="AM31" si="31">"0x" &amp; DEC2HEX(BIN2DEC(_xlfn.TEXTJOIN("",FALSE,AB31,AC31,AD31,AE31,AF31,AG31,AH31,AI31)))</f>
        <v>0x0</v>
      </c>
      <c r="AO31" t="s">
        <v>26</v>
      </c>
    </row>
    <row r="32" spans="2:41" x14ac:dyDescent="0.25">
      <c r="B32" s="3"/>
      <c r="C32" s="3"/>
      <c r="D32" s="1">
        <v>0</v>
      </c>
      <c r="E32" s="1">
        <v>1</v>
      </c>
      <c r="F32" s="1">
        <v>0</v>
      </c>
      <c r="G32" s="1">
        <v>0</v>
      </c>
      <c r="H32" s="1">
        <v>0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  <c r="AH32" s="1">
        <v>0</v>
      </c>
      <c r="AI32" s="1">
        <v>0</v>
      </c>
      <c r="AJ32" s="6" t="str">
        <f t="shared" si="16"/>
        <v>0x44</v>
      </c>
      <c r="AK32" s="6" t="str">
        <f t="shared" si="17"/>
        <v>0x0</v>
      </c>
      <c r="AL32" s="6" t="str">
        <f t="shared" si="18"/>
        <v>0x0</v>
      </c>
      <c r="AM32" s="6" t="str">
        <f t="shared" si="19"/>
        <v>0x4</v>
      </c>
      <c r="AO32" t="s">
        <v>99</v>
      </c>
    </row>
    <row r="33" spans="2:39" ht="15.75" thickBot="1" x14ac:dyDescent="0.3">
      <c r="B33" s="22"/>
      <c r="C33" s="22"/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1</v>
      </c>
      <c r="AI33" s="10">
        <v>0</v>
      </c>
      <c r="AJ33" s="9" t="str">
        <f t="shared" si="16"/>
        <v>0x0</v>
      </c>
      <c r="AK33" s="9" t="str">
        <f t="shared" si="17"/>
        <v>0x0</v>
      </c>
      <c r="AL33" s="9" t="str">
        <f t="shared" si="18"/>
        <v>0x0</v>
      </c>
      <c r="AM33" s="9" t="str">
        <f t="shared" si="19"/>
        <v>0x2</v>
      </c>
    </row>
    <row r="34" spans="2:39" x14ac:dyDescent="0.25">
      <c r="B34" s="4" t="s">
        <v>28</v>
      </c>
      <c r="C34" s="4" t="s">
        <v>72</v>
      </c>
      <c r="D34" s="14">
        <v>1</v>
      </c>
      <c r="E34" s="14">
        <v>0</v>
      </c>
      <c r="F34" s="14">
        <v>0</v>
      </c>
      <c r="G34" s="14">
        <v>1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5">
        <v>0</v>
      </c>
      <c r="Y34" s="5">
        <v>0</v>
      </c>
      <c r="Z34" s="5">
        <v>0</v>
      </c>
      <c r="AA34" s="5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6" t="str">
        <f t="shared" si="16"/>
        <v>0x90</v>
      </c>
      <c r="AK34" s="6" t="str">
        <f t="shared" si="17"/>
        <v>0x0</v>
      </c>
      <c r="AL34" s="6" t="str">
        <f t="shared" si="18"/>
        <v>0x0</v>
      </c>
      <c r="AM34" s="6" t="str">
        <f t="shared" si="19"/>
        <v>0x0</v>
      </c>
    </row>
    <row r="35" spans="2:39" x14ac:dyDescent="0.25">
      <c r="B35" s="3"/>
      <c r="C35" s="3"/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1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6" t="str">
        <f t="shared" ref="AJ35:AJ36" si="32">"0x" &amp; DEC2HEX(BIN2DEC(_xlfn.TEXTJOIN("",FALSE,D35,E35,F35,G35,H35,I35,J35,K35)))</f>
        <v>0x24</v>
      </c>
      <c r="AK35" s="6" t="str">
        <f t="shared" ref="AK35:AK36" si="33">"0x" &amp; DEC2HEX(BIN2DEC(_xlfn.TEXTJOIN("",FALSE,L35,M35,N35,O35,P35,Q35,R35,S35)))</f>
        <v>0x80</v>
      </c>
      <c r="AL35" s="6" t="str">
        <f t="shared" ref="AL35:AL36" si="34">"0x" &amp; DEC2HEX(BIN2DEC(_xlfn.TEXTJOIN("",FALSE,T35,U35,V35,W35,X35,Y35,Z35,AA35)))</f>
        <v>0x0</v>
      </c>
      <c r="AM35" s="6" t="str">
        <f t="shared" ref="AM35:AM36" si="35">"0x" &amp; DEC2HEX(BIN2DEC(_xlfn.TEXTJOIN("",FALSE,AB35,AC35,AD35,AE35,AF35,AG35,AH35,AI35)))</f>
        <v>0x0</v>
      </c>
    </row>
    <row r="36" spans="2:39" ht="15.75" thickBot="1" x14ac:dyDescent="0.3">
      <c r="B36" s="22"/>
      <c r="C36" s="22"/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1</v>
      </c>
      <c r="AI36" s="10">
        <v>0</v>
      </c>
      <c r="AJ36" s="9" t="str">
        <f t="shared" si="32"/>
        <v>0x0</v>
      </c>
      <c r="AK36" s="9" t="str">
        <f t="shared" si="33"/>
        <v>0x0</v>
      </c>
      <c r="AL36" s="9" t="str">
        <f t="shared" si="34"/>
        <v>0x0</v>
      </c>
      <c r="AM36" s="9" t="str">
        <f t="shared" si="35"/>
        <v>0x2</v>
      </c>
    </row>
    <row r="37" spans="2:39" x14ac:dyDescent="0.25">
      <c r="B37" s="4" t="s">
        <v>29</v>
      </c>
      <c r="C37" s="4" t="s">
        <v>81</v>
      </c>
      <c r="D37" s="11">
        <v>1</v>
      </c>
      <c r="E37" s="11">
        <v>0</v>
      </c>
      <c r="F37" s="11">
        <v>0</v>
      </c>
      <c r="G37" s="11">
        <v>1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6" t="str">
        <f t="shared" si="0"/>
        <v>0x90</v>
      </c>
      <c r="AK37" s="6" t="str">
        <f t="shared" si="1"/>
        <v>0x0</v>
      </c>
      <c r="AL37" s="6" t="str">
        <f t="shared" si="2"/>
        <v>0x0</v>
      </c>
      <c r="AM37" s="6" t="str">
        <f t="shared" si="3"/>
        <v>0x0</v>
      </c>
    </row>
    <row r="38" spans="2:39" x14ac:dyDescent="0.25">
      <c r="B38" s="3"/>
      <c r="C38" s="4"/>
      <c r="D38" s="1">
        <v>0</v>
      </c>
      <c r="E38" s="1">
        <v>0</v>
      </c>
      <c r="F38" s="1">
        <v>1</v>
      </c>
      <c r="G38" s="1">
        <v>1</v>
      </c>
      <c r="H38" s="1">
        <v>0</v>
      </c>
      <c r="I38" s="1">
        <v>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2" t="str">
        <f t="shared" si="0"/>
        <v>0x34</v>
      </c>
      <c r="AK38" s="2" t="str">
        <f t="shared" si="1"/>
        <v>0x0</v>
      </c>
      <c r="AL38" s="2" t="str">
        <f t="shared" si="2"/>
        <v>0x0</v>
      </c>
      <c r="AM38" s="2" t="str">
        <f t="shared" si="3"/>
        <v>0x0</v>
      </c>
    </row>
    <row r="39" spans="2:39" x14ac:dyDescent="0.25">
      <c r="B39" s="3"/>
      <c r="C39" s="3"/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</v>
      </c>
      <c r="J39" s="1">
        <v>0</v>
      </c>
      <c r="K39" s="1">
        <v>0</v>
      </c>
      <c r="L39" s="1">
        <v>1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2" t="str">
        <f t="shared" ref="AJ39" si="36">"0x" &amp; DEC2HEX(BIN2DEC(_xlfn.TEXTJOIN("",FALSE,D39,E39,F39,G39,H39,I39,J39,K39)))</f>
        <v>0x4</v>
      </c>
      <c r="AK39" s="2" t="str">
        <f t="shared" ref="AK39" si="37">"0x" &amp; DEC2HEX(BIN2DEC(_xlfn.TEXTJOIN("",FALSE,L39,M39,N39,O39,P39,Q39,R39,S39)))</f>
        <v>0x80</v>
      </c>
      <c r="AL39" s="2" t="str">
        <f t="shared" ref="AL39" si="38">"0x" &amp; DEC2HEX(BIN2DEC(_xlfn.TEXTJOIN("",FALSE,T39,U39,V39,W39,X39,Y39,Z39,AA39)))</f>
        <v>0x0</v>
      </c>
      <c r="AM39" s="2" t="str">
        <f t="shared" ref="AM39" si="39">"0x" &amp; DEC2HEX(BIN2DEC(_xlfn.TEXTJOIN("",FALSE,AB39,AC39,AD39,AE39,AF39,AG39,AH39,AI39)))</f>
        <v>0x0</v>
      </c>
    </row>
    <row r="40" spans="2:39" ht="15.75" thickBot="1" x14ac:dyDescent="0.3">
      <c r="B40" s="22"/>
      <c r="C40" s="22"/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1</v>
      </c>
      <c r="AI40" s="10">
        <v>0</v>
      </c>
      <c r="AJ40" s="9" t="str">
        <f t="shared" si="0"/>
        <v>0x0</v>
      </c>
      <c r="AK40" s="9" t="str">
        <f t="shared" si="1"/>
        <v>0x0</v>
      </c>
      <c r="AL40" s="9" t="str">
        <f t="shared" si="2"/>
        <v>0x0</v>
      </c>
      <c r="AM40" s="9" t="str">
        <f t="shared" si="3"/>
        <v>0x2</v>
      </c>
    </row>
    <row r="41" spans="2:39" x14ac:dyDescent="0.25">
      <c r="B41" s="4" t="s">
        <v>34</v>
      </c>
      <c r="C41" s="4" t="s">
        <v>82</v>
      </c>
      <c r="D41" s="11">
        <v>1</v>
      </c>
      <c r="E41" s="11">
        <v>0</v>
      </c>
      <c r="F41" s="11">
        <v>0</v>
      </c>
      <c r="G41" s="11">
        <v>1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6" t="str">
        <f t="shared" si="0"/>
        <v>0x90</v>
      </c>
      <c r="AK41" s="6" t="str">
        <f t="shared" si="1"/>
        <v>0x0</v>
      </c>
      <c r="AL41" s="6" t="str">
        <f t="shared" si="2"/>
        <v>0x0</v>
      </c>
      <c r="AM41" s="6" t="str">
        <f t="shared" si="3"/>
        <v>0x0</v>
      </c>
    </row>
    <row r="42" spans="2:39" x14ac:dyDescent="0.25">
      <c r="B42" s="3"/>
      <c r="C42" s="4"/>
      <c r="D42" s="1">
        <v>0</v>
      </c>
      <c r="E42" s="1">
        <v>0</v>
      </c>
      <c r="F42" s="1">
        <v>1</v>
      </c>
      <c r="G42" s="1">
        <v>1</v>
      </c>
      <c r="H42" s="1">
        <v>0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2" t="str">
        <f t="shared" si="0"/>
        <v>0x34</v>
      </c>
      <c r="AK42" s="2" t="str">
        <f t="shared" si="1"/>
        <v>0x0</v>
      </c>
      <c r="AL42" s="2" t="str">
        <f t="shared" si="2"/>
        <v>0x0</v>
      </c>
      <c r="AM42" s="2" t="str">
        <f t="shared" si="3"/>
        <v>0x0</v>
      </c>
    </row>
    <row r="43" spans="2:39" x14ac:dyDescent="0.25">
      <c r="B43" s="3"/>
      <c r="C43" s="4"/>
      <c r="D43" s="1">
        <v>0</v>
      </c>
      <c r="E43" s="1">
        <v>0</v>
      </c>
      <c r="F43" s="1">
        <v>0</v>
      </c>
      <c r="G43" s="1">
        <v>1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2" t="str">
        <f t="shared" si="0"/>
        <v>0x14</v>
      </c>
      <c r="AK43" s="2" t="str">
        <f t="shared" si="1"/>
        <v>0x0</v>
      </c>
      <c r="AL43" s="2" t="str">
        <f t="shared" si="2"/>
        <v>0x0</v>
      </c>
      <c r="AM43" s="2" t="str">
        <f t="shared" si="3"/>
        <v>0x0</v>
      </c>
    </row>
    <row r="44" spans="2:39" x14ac:dyDescent="0.25">
      <c r="B44" s="3"/>
      <c r="C44" s="3"/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1</v>
      </c>
      <c r="J44" s="1">
        <v>0</v>
      </c>
      <c r="K44" s="1">
        <v>0</v>
      </c>
      <c r="L44" s="1">
        <v>1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2" t="str">
        <f t="shared" ref="AJ44:AJ57" si="40">"0x" &amp; DEC2HEX(BIN2DEC(_xlfn.TEXTJOIN("",FALSE,D44,E44,F44,G44,H44,I44,J44,K44)))</f>
        <v>0x4</v>
      </c>
      <c r="AK44" s="2" t="str">
        <f t="shared" ref="AK44:AK57" si="41">"0x" &amp; DEC2HEX(BIN2DEC(_xlfn.TEXTJOIN("",FALSE,L44,M44,N44,O44,P44,Q44,R44,S44)))</f>
        <v>0x80</v>
      </c>
      <c r="AL44" s="2" t="str">
        <f t="shared" ref="AL44:AL57" si="42">"0x" &amp; DEC2HEX(BIN2DEC(_xlfn.TEXTJOIN("",FALSE,T44,U44,V44,W44,X44,Y44,Z44,AA44)))</f>
        <v>0x0</v>
      </c>
      <c r="AM44" s="2" t="str">
        <f t="shared" ref="AM44:AM57" si="43">"0x" &amp; DEC2HEX(BIN2DEC(_xlfn.TEXTJOIN("",FALSE,AB44,AC44,AD44,AE44,AF44,AG44,AH44,AI44)))</f>
        <v>0x0</v>
      </c>
    </row>
    <row r="45" spans="2:39" ht="15.75" thickBot="1" x14ac:dyDescent="0.3">
      <c r="B45" s="22"/>
      <c r="C45" s="22"/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1</v>
      </c>
      <c r="AI45" s="10">
        <v>0</v>
      </c>
      <c r="AJ45" s="9" t="str">
        <f t="shared" si="40"/>
        <v>0x0</v>
      </c>
      <c r="AK45" s="9" t="str">
        <f t="shared" si="41"/>
        <v>0x0</v>
      </c>
      <c r="AL45" s="9" t="str">
        <f t="shared" si="42"/>
        <v>0x0</v>
      </c>
      <c r="AM45" s="9" t="str">
        <f t="shared" si="43"/>
        <v>0x2</v>
      </c>
    </row>
    <row r="46" spans="2:39" x14ac:dyDescent="0.25">
      <c r="B46" s="4" t="s">
        <v>30</v>
      </c>
      <c r="C46" s="4" t="s">
        <v>83</v>
      </c>
      <c r="D46" s="11">
        <v>1</v>
      </c>
      <c r="E46" s="11">
        <v>0</v>
      </c>
      <c r="F46" s="11">
        <v>0</v>
      </c>
      <c r="G46" s="11">
        <v>1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6" t="str">
        <f t="shared" si="40"/>
        <v>0x90</v>
      </c>
      <c r="AK46" s="6" t="str">
        <f t="shared" si="41"/>
        <v>0x0</v>
      </c>
      <c r="AL46" s="6" t="str">
        <f t="shared" si="42"/>
        <v>0x0</v>
      </c>
      <c r="AM46" s="6" t="str">
        <f t="shared" si="43"/>
        <v>0x0</v>
      </c>
    </row>
    <row r="47" spans="2:39" x14ac:dyDescent="0.25">
      <c r="B47" s="3"/>
      <c r="C47" s="3"/>
      <c r="D47" s="1">
        <v>0</v>
      </c>
      <c r="E47" s="1">
        <v>0</v>
      </c>
      <c r="F47" s="1">
        <v>1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1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2" t="str">
        <f t="shared" si="40"/>
        <v>0x24</v>
      </c>
      <c r="AK47" s="2" t="str">
        <f t="shared" si="41"/>
        <v>0x20</v>
      </c>
      <c r="AL47" s="2" t="str">
        <f t="shared" si="42"/>
        <v>0x0</v>
      </c>
      <c r="AM47" s="2" t="str">
        <f t="shared" si="43"/>
        <v>0x0</v>
      </c>
    </row>
    <row r="48" spans="2:39" ht="15.75" thickBot="1" x14ac:dyDescent="0.3">
      <c r="B48" s="22"/>
      <c r="C48" s="22"/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1</v>
      </c>
      <c r="AI48" s="10">
        <v>0</v>
      </c>
      <c r="AJ48" s="9" t="str">
        <f t="shared" si="40"/>
        <v>0x0</v>
      </c>
      <c r="AK48" s="9" t="str">
        <f t="shared" si="41"/>
        <v>0x0</v>
      </c>
      <c r="AL48" s="9" t="str">
        <f t="shared" si="42"/>
        <v>0x0</v>
      </c>
      <c r="AM48" s="9" t="str">
        <f t="shared" si="43"/>
        <v>0x2</v>
      </c>
    </row>
    <row r="49" spans="2:39" x14ac:dyDescent="0.25">
      <c r="B49" s="4" t="s">
        <v>31</v>
      </c>
      <c r="C49" s="4" t="s">
        <v>84</v>
      </c>
      <c r="D49" s="11">
        <v>1</v>
      </c>
      <c r="E49" s="11">
        <v>0</v>
      </c>
      <c r="F49" s="11">
        <v>0</v>
      </c>
      <c r="G49" s="11">
        <v>1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6" t="str">
        <f t="shared" si="40"/>
        <v>0x90</v>
      </c>
      <c r="AK49" s="6" t="str">
        <f t="shared" si="41"/>
        <v>0x0</v>
      </c>
      <c r="AL49" s="6" t="str">
        <f t="shared" si="42"/>
        <v>0x0</v>
      </c>
      <c r="AM49" s="6" t="str">
        <f t="shared" si="43"/>
        <v>0x0</v>
      </c>
    </row>
    <row r="50" spans="2:39" x14ac:dyDescent="0.25">
      <c r="B50" s="3"/>
      <c r="C50" s="4"/>
      <c r="D50" s="1">
        <v>0</v>
      </c>
      <c r="E50" s="1">
        <v>0</v>
      </c>
      <c r="F50" s="1">
        <v>1</v>
      </c>
      <c r="G50" s="1">
        <v>1</v>
      </c>
      <c r="H50" s="1">
        <v>0</v>
      </c>
      <c r="I50" s="1">
        <v>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2" t="str">
        <f t="shared" si="40"/>
        <v>0x34</v>
      </c>
      <c r="AK50" s="2" t="str">
        <f t="shared" si="41"/>
        <v>0x0</v>
      </c>
      <c r="AL50" s="2" t="str">
        <f t="shared" si="42"/>
        <v>0x0</v>
      </c>
      <c r="AM50" s="2" t="str">
        <f t="shared" si="43"/>
        <v>0x0</v>
      </c>
    </row>
    <row r="51" spans="2:39" x14ac:dyDescent="0.25">
      <c r="B51" s="3"/>
      <c r="C51" s="3"/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1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2" t="str">
        <f t="shared" si="40"/>
        <v>0x4</v>
      </c>
      <c r="AK51" s="2" t="str">
        <f t="shared" si="41"/>
        <v>0x20</v>
      </c>
      <c r="AL51" s="2" t="str">
        <f t="shared" si="42"/>
        <v>0x0</v>
      </c>
      <c r="AM51" s="2" t="str">
        <f t="shared" si="43"/>
        <v>0x0</v>
      </c>
    </row>
    <row r="52" spans="2:39" ht="15.75" thickBot="1" x14ac:dyDescent="0.3">
      <c r="B52" s="22"/>
      <c r="C52" s="22"/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1</v>
      </c>
      <c r="AI52" s="10">
        <v>0</v>
      </c>
      <c r="AJ52" s="9" t="str">
        <f t="shared" si="40"/>
        <v>0x0</v>
      </c>
      <c r="AK52" s="9" t="str">
        <f t="shared" si="41"/>
        <v>0x0</v>
      </c>
      <c r="AL52" s="9" t="str">
        <f t="shared" si="42"/>
        <v>0x0</v>
      </c>
      <c r="AM52" s="9" t="str">
        <f t="shared" si="43"/>
        <v>0x2</v>
      </c>
    </row>
    <row r="53" spans="2:39" x14ac:dyDescent="0.25">
      <c r="B53" s="4" t="s">
        <v>35</v>
      </c>
      <c r="C53" s="4" t="s">
        <v>85</v>
      </c>
      <c r="D53" s="11">
        <v>1</v>
      </c>
      <c r="E53" s="11">
        <v>0</v>
      </c>
      <c r="F53" s="11">
        <v>0</v>
      </c>
      <c r="G53" s="11">
        <v>1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6" t="str">
        <f t="shared" si="40"/>
        <v>0x90</v>
      </c>
      <c r="AK53" s="6" t="str">
        <f t="shared" si="41"/>
        <v>0x0</v>
      </c>
      <c r="AL53" s="6" t="str">
        <f t="shared" si="42"/>
        <v>0x0</v>
      </c>
      <c r="AM53" s="6" t="str">
        <f t="shared" si="43"/>
        <v>0x0</v>
      </c>
    </row>
    <row r="54" spans="2:39" x14ac:dyDescent="0.25">
      <c r="B54" s="3"/>
      <c r="C54" s="4"/>
      <c r="D54" s="1">
        <v>0</v>
      </c>
      <c r="E54" s="1">
        <v>0</v>
      </c>
      <c r="F54" s="1">
        <v>1</v>
      </c>
      <c r="G54" s="1">
        <v>1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2" t="str">
        <f t="shared" si="40"/>
        <v>0x34</v>
      </c>
      <c r="AK54" s="2" t="str">
        <f t="shared" si="41"/>
        <v>0x0</v>
      </c>
      <c r="AL54" s="2" t="str">
        <f t="shared" si="42"/>
        <v>0x0</v>
      </c>
      <c r="AM54" s="2" t="str">
        <f t="shared" si="43"/>
        <v>0x0</v>
      </c>
    </row>
    <row r="55" spans="2:39" x14ac:dyDescent="0.25">
      <c r="B55" s="3"/>
      <c r="C55" s="4"/>
      <c r="D55" s="1">
        <v>0</v>
      </c>
      <c r="E55" s="1">
        <v>0</v>
      </c>
      <c r="F55" s="1">
        <v>0</v>
      </c>
      <c r="G55" s="1">
        <v>1</v>
      </c>
      <c r="H55" s="1">
        <v>0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2" t="str">
        <f t="shared" si="40"/>
        <v>0x14</v>
      </c>
      <c r="AK55" s="2" t="str">
        <f t="shared" si="41"/>
        <v>0x0</v>
      </c>
      <c r="AL55" s="2" t="str">
        <f t="shared" si="42"/>
        <v>0x0</v>
      </c>
      <c r="AM55" s="2" t="str">
        <f t="shared" si="43"/>
        <v>0x0</v>
      </c>
    </row>
    <row r="56" spans="2:39" x14ac:dyDescent="0.25">
      <c r="B56" s="3"/>
      <c r="C56" s="3"/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1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2" t="str">
        <f t="shared" si="40"/>
        <v>0x4</v>
      </c>
      <c r="AK56" s="2" t="str">
        <f t="shared" si="41"/>
        <v>0x20</v>
      </c>
      <c r="AL56" s="2" t="str">
        <f t="shared" si="42"/>
        <v>0x0</v>
      </c>
      <c r="AM56" s="2" t="str">
        <f t="shared" si="43"/>
        <v>0x0</v>
      </c>
    </row>
    <row r="57" spans="2:39" ht="15.75" thickBot="1" x14ac:dyDescent="0.3">
      <c r="B57" s="22"/>
      <c r="C57" s="22"/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1</v>
      </c>
      <c r="AI57" s="10">
        <v>0</v>
      </c>
      <c r="AJ57" s="9" t="str">
        <f t="shared" si="40"/>
        <v>0x0</v>
      </c>
      <c r="AK57" s="9" t="str">
        <f t="shared" si="41"/>
        <v>0x0</v>
      </c>
      <c r="AL57" s="9" t="str">
        <f t="shared" si="42"/>
        <v>0x0</v>
      </c>
      <c r="AM57" s="9" t="str">
        <f t="shared" si="43"/>
        <v>0x2</v>
      </c>
    </row>
    <row r="58" spans="2:39" x14ac:dyDescent="0.25">
      <c r="B58" s="4" t="s">
        <v>32</v>
      </c>
      <c r="C58" s="4" t="s">
        <v>86</v>
      </c>
      <c r="D58" s="11">
        <v>1</v>
      </c>
      <c r="E58" s="11">
        <v>0</v>
      </c>
      <c r="F58" s="11">
        <v>0</v>
      </c>
      <c r="G58" s="11">
        <v>1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6" t="str">
        <f t="shared" si="0"/>
        <v>0x90</v>
      </c>
      <c r="AK58" s="6" t="str">
        <f t="shared" si="1"/>
        <v>0x0</v>
      </c>
      <c r="AL58" s="6" t="str">
        <f t="shared" si="2"/>
        <v>0x0</v>
      </c>
      <c r="AM58" s="6" t="str">
        <f t="shared" si="3"/>
        <v>0x0</v>
      </c>
    </row>
    <row r="59" spans="2:39" x14ac:dyDescent="0.25">
      <c r="B59" s="3"/>
      <c r="C59" s="3"/>
      <c r="D59" s="1">
        <v>0</v>
      </c>
      <c r="E59" s="1">
        <v>0</v>
      </c>
      <c r="F59" s="1">
        <v>1</v>
      </c>
      <c r="G59" s="1">
        <v>1</v>
      </c>
      <c r="H59" s="1">
        <v>0</v>
      </c>
      <c r="I59" s="1">
        <v>1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2" t="str">
        <f t="shared" si="0"/>
        <v>0x34</v>
      </c>
      <c r="AK59" s="2" t="str">
        <f t="shared" si="1"/>
        <v>0x0</v>
      </c>
      <c r="AL59" s="2" t="str">
        <f t="shared" si="2"/>
        <v>0x0</v>
      </c>
      <c r="AM59" s="2" t="str">
        <f t="shared" si="3"/>
        <v>0x0</v>
      </c>
    </row>
    <row r="60" spans="2:39" x14ac:dyDescent="0.25">
      <c r="B60" s="3"/>
      <c r="C60" s="3"/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1</v>
      </c>
      <c r="K60" s="1">
        <v>1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2" t="str">
        <f t="shared" ref="AJ60" si="44">"0x" &amp; DEC2HEX(BIN2DEC(_xlfn.TEXTJOIN("",FALSE,D60,E60,F60,G60,H60,I60,J60,K60)))</f>
        <v>0x3</v>
      </c>
      <c r="AK60" s="2" t="str">
        <f t="shared" ref="AK60" si="45">"0x" &amp; DEC2HEX(BIN2DEC(_xlfn.TEXTJOIN("",FALSE,L60,M60,N60,O60,P60,Q60,R60,S60)))</f>
        <v>0x0</v>
      </c>
      <c r="AL60" s="2" t="str">
        <f t="shared" ref="AL60" si="46">"0x" &amp; DEC2HEX(BIN2DEC(_xlfn.TEXTJOIN("",FALSE,T60,U60,V60,W60,X60,Y60,Z60,AA60)))</f>
        <v>0x0</v>
      </c>
      <c r="AM60" s="2" t="str">
        <f t="shared" ref="AM60" si="47">"0x" &amp; DEC2HEX(BIN2DEC(_xlfn.TEXTJOIN("",FALSE,AB60,AC60,AD60,AE60,AF60,AG60,AH60,AI60)))</f>
        <v>0x0</v>
      </c>
    </row>
    <row r="61" spans="2:39" ht="15.75" thickBot="1" x14ac:dyDescent="0.3">
      <c r="B61" s="22"/>
      <c r="C61" s="22"/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1</v>
      </c>
      <c r="AI61" s="10">
        <v>0</v>
      </c>
      <c r="AJ61" s="9" t="str">
        <f t="shared" si="0"/>
        <v>0x0</v>
      </c>
      <c r="AK61" s="9" t="str">
        <f t="shared" si="1"/>
        <v>0x0</v>
      </c>
      <c r="AL61" s="9" t="str">
        <f t="shared" si="2"/>
        <v>0x0</v>
      </c>
      <c r="AM61" s="9" t="str">
        <f t="shared" si="3"/>
        <v>0x2</v>
      </c>
    </row>
    <row r="62" spans="2:39" x14ac:dyDescent="0.25">
      <c r="B62" s="4" t="s">
        <v>36</v>
      </c>
      <c r="C62" s="4" t="s">
        <v>56</v>
      </c>
      <c r="D62" s="11">
        <v>1</v>
      </c>
      <c r="E62" s="11">
        <v>0</v>
      </c>
      <c r="F62" s="11">
        <v>0</v>
      </c>
      <c r="G62" s="11">
        <v>1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6" t="str">
        <f t="shared" si="0"/>
        <v>0x90</v>
      </c>
      <c r="AK62" s="6" t="str">
        <f t="shared" si="1"/>
        <v>0x0</v>
      </c>
      <c r="AL62" s="6" t="str">
        <f t="shared" si="2"/>
        <v>0x0</v>
      </c>
      <c r="AM62" s="6" t="str">
        <f t="shared" si="3"/>
        <v>0x0</v>
      </c>
    </row>
    <row r="63" spans="2:39" x14ac:dyDescent="0.25">
      <c r="B63" s="4"/>
      <c r="C63" s="4"/>
      <c r="D63" s="1">
        <v>0</v>
      </c>
      <c r="E63" s="1">
        <v>0</v>
      </c>
      <c r="F63" s="1">
        <v>1</v>
      </c>
      <c r="G63" s="1">
        <v>1</v>
      </c>
      <c r="H63" s="1">
        <v>0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2" t="str">
        <f t="shared" si="0"/>
        <v>0x34</v>
      </c>
      <c r="AK63" s="2" t="str">
        <f t="shared" si="1"/>
        <v>0x0</v>
      </c>
      <c r="AL63" s="2" t="str">
        <f t="shared" si="2"/>
        <v>0x0</v>
      </c>
      <c r="AM63" s="2" t="str">
        <f t="shared" si="3"/>
        <v>0x0</v>
      </c>
    </row>
    <row r="64" spans="2:39" x14ac:dyDescent="0.25">
      <c r="B64" s="17"/>
      <c r="C64" s="17"/>
      <c r="D64" s="1">
        <v>0</v>
      </c>
      <c r="E64" s="1">
        <v>0</v>
      </c>
      <c r="F64" s="1">
        <v>0</v>
      </c>
      <c r="G64" s="1">
        <v>1</v>
      </c>
      <c r="H64" s="1">
        <v>0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2" t="str">
        <f t="shared" si="0"/>
        <v>0x14</v>
      </c>
      <c r="AK64" s="2" t="str">
        <f t="shared" si="1"/>
        <v>0x0</v>
      </c>
      <c r="AL64" s="2" t="str">
        <f t="shared" si="2"/>
        <v>0x0</v>
      </c>
      <c r="AM64" s="2" t="str">
        <f t="shared" si="3"/>
        <v>0x0</v>
      </c>
    </row>
    <row r="65" spans="2:39" x14ac:dyDescent="0.25">
      <c r="B65" s="3"/>
      <c r="C65" s="3"/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1</v>
      </c>
      <c r="K65" s="1">
        <v>1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2" t="str">
        <f t="shared" ref="AJ65" si="48">"0x" &amp; DEC2HEX(BIN2DEC(_xlfn.TEXTJOIN("",FALSE,D65,E65,F65,G65,H65,I65,J65,K65)))</f>
        <v>0x3</v>
      </c>
      <c r="AK65" s="2" t="str">
        <f t="shared" ref="AK65" si="49">"0x" &amp; DEC2HEX(BIN2DEC(_xlfn.TEXTJOIN("",FALSE,L65,M65,N65,O65,P65,Q65,R65,S65)))</f>
        <v>0x0</v>
      </c>
      <c r="AL65" s="2" t="str">
        <f t="shared" ref="AL65" si="50">"0x" &amp; DEC2HEX(BIN2DEC(_xlfn.TEXTJOIN("",FALSE,T65,U65,V65,W65,X65,Y65,Z65,AA65)))</f>
        <v>0x0</v>
      </c>
      <c r="AM65" s="2" t="str">
        <f t="shared" ref="AM65" si="51">"0x" &amp; DEC2HEX(BIN2DEC(_xlfn.TEXTJOIN("",FALSE,AB65,AC65,AD65,AE65,AF65,AG65,AH65,AI65)))</f>
        <v>0x0</v>
      </c>
    </row>
    <row r="66" spans="2:39" ht="15.75" thickBot="1" x14ac:dyDescent="0.3">
      <c r="B66" s="22"/>
      <c r="C66" s="22"/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1</v>
      </c>
      <c r="AI66" s="10">
        <v>0</v>
      </c>
      <c r="AJ66" s="9" t="str">
        <f t="shared" si="0"/>
        <v>0x0</v>
      </c>
      <c r="AK66" s="9" t="str">
        <f t="shared" si="1"/>
        <v>0x0</v>
      </c>
      <c r="AL66" s="9" t="str">
        <f t="shared" si="2"/>
        <v>0x0</v>
      </c>
      <c r="AM66" s="9" t="str">
        <f t="shared" si="3"/>
        <v>0x2</v>
      </c>
    </row>
    <row r="67" spans="2:39" x14ac:dyDescent="0.25">
      <c r="B67" s="4" t="s">
        <v>33</v>
      </c>
      <c r="C67" s="4" t="s">
        <v>57</v>
      </c>
      <c r="D67" s="11">
        <v>1</v>
      </c>
      <c r="E67" s="11">
        <v>0</v>
      </c>
      <c r="F67" s="11">
        <v>0</v>
      </c>
      <c r="G67" s="11">
        <v>1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6" t="str">
        <f t="shared" si="0"/>
        <v>0x90</v>
      </c>
      <c r="AK67" s="6" t="str">
        <f t="shared" si="1"/>
        <v>0x0</v>
      </c>
      <c r="AL67" s="6" t="str">
        <f t="shared" si="2"/>
        <v>0x0</v>
      </c>
      <c r="AM67" s="6" t="str">
        <f t="shared" si="3"/>
        <v>0x0</v>
      </c>
    </row>
    <row r="68" spans="2:39" x14ac:dyDescent="0.25">
      <c r="B68" s="4"/>
      <c r="C68" s="4"/>
      <c r="D68" s="1">
        <v>0</v>
      </c>
      <c r="E68" s="1">
        <v>0</v>
      </c>
      <c r="F68" s="1">
        <v>1</v>
      </c>
      <c r="G68" s="1">
        <v>1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6" t="str">
        <f t="shared" ref="AJ68:AJ70" si="52">"0x" &amp; DEC2HEX(BIN2DEC(_xlfn.TEXTJOIN("",FALSE,D68,E68,F68,G68,H68,I68,J68,K68)))</f>
        <v>0x34</v>
      </c>
      <c r="AK68" s="6" t="str">
        <f t="shared" ref="AK68:AK70" si="53">"0x" &amp; DEC2HEX(BIN2DEC(_xlfn.TEXTJOIN("",FALSE,L68,M68,N68,O68,P68,Q68,R68,S68)))</f>
        <v>0x0</v>
      </c>
      <c r="AL68" s="6" t="str">
        <f t="shared" ref="AL68:AL70" si="54">"0x" &amp; DEC2HEX(BIN2DEC(_xlfn.TEXTJOIN("",FALSE,T68,U68,V68,W68,X68,Y68,Z68,AA68)))</f>
        <v>0x0</v>
      </c>
      <c r="AM68" s="6" t="str">
        <f t="shared" ref="AM68:AM70" si="55">"0x" &amp; DEC2HEX(BIN2DEC(_xlfn.TEXTJOIN("",FALSE,AB68,AC68,AD68,AE68,AF68,AG68,AH68,AI68)))</f>
        <v>0x0</v>
      </c>
    </row>
    <row r="69" spans="2:39" x14ac:dyDescent="0.25">
      <c r="B69" s="4"/>
      <c r="C69" s="4"/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</v>
      </c>
      <c r="K69" s="1">
        <v>0</v>
      </c>
      <c r="L69" s="1">
        <v>0</v>
      </c>
      <c r="M69" s="1">
        <v>1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6" t="str">
        <f t="shared" si="52"/>
        <v>0x2</v>
      </c>
      <c r="AK69" s="6" t="str">
        <f t="shared" si="53"/>
        <v>0x40</v>
      </c>
      <c r="AL69" s="6" t="str">
        <f t="shared" si="54"/>
        <v>0x0</v>
      </c>
      <c r="AM69" s="6" t="str">
        <f t="shared" si="55"/>
        <v>0x0</v>
      </c>
    </row>
    <row r="70" spans="2:39" ht="15.75" thickBot="1" x14ac:dyDescent="0.3">
      <c r="B70" s="7"/>
      <c r="C70" s="7"/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1</v>
      </c>
      <c r="AI70" s="10">
        <v>0</v>
      </c>
      <c r="AJ70" s="9" t="str">
        <f t="shared" si="52"/>
        <v>0x0</v>
      </c>
      <c r="AK70" s="9" t="str">
        <f t="shared" si="53"/>
        <v>0x0</v>
      </c>
      <c r="AL70" s="9" t="str">
        <f t="shared" si="54"/>
        <v>0x0</v>
      </c>
      <c r="AM70" s="9" t="str">
        <f t="shared" si="55"/>
        <v>0x2</v>
      </c>
    </row>
    <row r="71" spans="2:39" x14ac:dyDescent="0.25">
      <c r="B71" s="4" t="s">
        <v>37</v>
      </c>
      <c r="C71" s="4" t="s">
        <v>58</v>
      </c>
      <c r="D71" s="11">
        <v>1</v>
      </c>
      <c r="E71" s="11">
        <v>0</v>
      </c>
      <c r="F71" s="11">
        <v>0</v>
      </c>
      <c r="G71" s="11">
        <v>1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6" t="str">
        <f t="shared" si="0"/>
        <v>0x90</v>
      </c>
      <c r="AK71" s="6" t="str">
        <f t="shared" si="1"/>
        <v>0x0</v>
      </c>
      <c r="AL71" s="6" t="str">
        <f t="shared" si="2"/>
        <v>0x0</v>
      </c>
      <c r="AM71" s="6" t="str">
        <f t="shared" si="3"/>
        <v>0x0</v>
      </c>
    </row>
    <row r="72" spans="2:39" x14ac:dyDescent="0.25">
      <c r="B72" s="3"/>
      <c r="C72" s="4"/>
      <c r="D72" s="1">
        <v>0</v>
      </c>
      <c r="E72" s="1">
        <v>0</v>
      </c>
      <c r="F72" s="1">
        <v>1</v>
      </c>
      <c r="G72" s="1">
        <v>1</v>
      </c>
      <c r="H72" s="1">
        <v>0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2" t="str">
        <f t="shared" ref="AJ72:AJ75" si="56">"0x" &amp; DEC2HEX(BIN2DEC(_xlfn.TEXTJOIN("",FALSE,D72,E72,F72,G72,H72,I72,J72,K72)))</f>
        <v>0x34</v>
      </c>
      <c r="AK72" s="2" t="str">
        <f t="shared" ref="AK72:AK75" si="57">"0x" &amp; DEC2HEX(BIN2DEC(_xlfn.TEXTJOIN("",FALSE,L72,M72,N72,O72,P72,Q72,R72,S72)))</f>
        <v>0x0</v>
      </c>
      <c r="AL72" s="2" t="str">
        <f t="shared" ref="AL72:AL75" si="58">"0x" &amp; DEC2HEX(BIN2DEC(_xlfn.TEXTJOIN("",FALSE,T72,U72,V72,W72,X72,Y72,Z72,AA72)))</f>
        <v>0x0</v>
      </c>
      <c r="AM72" s="2" t="str">
        <f t="shared" ref="AM72:AM75" si="59">"0x" &amp; DEC2HEX(BIN2DEC(_xlfn.TEXTJOIN("",FALSE,AB72,AC72,AD72,AE72,AF72,AG72,AH72,AI72)))</f>
        <v>0x0</v>
      </c>
    </row>
    <row r="73" spans="2:39" x14ac:dyDescent="0.25">
      <c r="B73" s="3"/>
      <c r="C73" s="4"/>
      <c r="D73" s="1">
        <v>0</v>
      </c>
      <c r="E73" s="1">
        <v>0</v>
      </c>
      <c r="F73" s="1">
        <v>0</v>
      </c>
      <c r="G73" s="1">
        <v>1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2" t="str">
        <f t="shared" si="56"/>
        <v>0x14</v>
      </c>
      <c r="AK73" s="2" t="str">
        <f t="shared" si="57"/>
        <v>0x0</v>
      </c>
      <c r="AL73" s="2" t="str">
        <f t="shared" si="58"/>
        <v>0x0</v>
      </c>
      <c r="AM73" s="2" t="str">
        <f t="shared" si="59"/>
        <v>0x0</v>
      </c>
    </row>
    <row r="74" spans="2:39" x14ac:dyDescent="0.25">
      <c r="B74" s="3"/>
      <c r="C74" s="4"/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1</v>
      </c>
      <c r="K74" s="1">
        <v>0</v>
      </c>
      <c r="L74" s="1">
        <v>0</v>
      </c>
      <c r="M74" s="1">
        <v>1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2" t="str">
        <f t="shared" si="56"/>
        <v>0x2</v>
      </c>
      <c r="AK74" s="2" t="str">
        <f t="shared" si="57"/>
        <v>0x40</v>
      </c>
      <c r="AL74" s="2" t="str">
        <f t="shared" si="58"/>
        <v>0x0</v>
      </c>
      <c r="AM74" s="2" t="str">
        <f t="shared" si="59"/>
        <v>0x0</v>
      </c>
    </row>
    <row r="75" spans="2:39" ht="15.75" thickBot="1" x14ac:dyDescent="0.3">
      <c r="B75" s="7"/>
      <c r="C75" s="7"/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1</v>
      </c>
      <c r="AI75" s="10">
        <v>0</v>
      </c>
      <c r="AJ75" s="9" t="str">
        <f t="shared" si="56"/>
        <v>0x0</v>
      </c>
      <c r="AK75" s="9" t="str">
        <f t="shared" si="57"/>
        <v>0x0</v>
      </c>
      <c r="AL75" s="9" t="str">
        <f t="shared" si="58"/>
        <v>0x0</v>
      </c>
      <c r="AM75" s="9" t="str">
        <f t="shared" si="59"/>
        <v>0x2</v>
      </c>
    </row>
    <row r="76" spans="2:39" x14ac:dyDescent="0.25">
      <c r="B76" s="4" t="s">
        <v>38</v>
      </c>
      <c r="C76" s="4" t="s">
        <v>59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  <c r="O76" s="1">
        <v>1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6" t="str">
        <f t="shared" si="0"/>
        <v>0x0</v>
      </c>
      <c r="AK76" s="6" t="str">
        <f t="shared" si="1"/>
        <v>0x90</v>
      </c>
      <c r="AL76" s="6" t="str">
        <f t="shared" si="2"/>
        <v>0x0</v>
      </c>
      <c r="AM76" s="6" t="str">
        <f t="shared" si="3"/>
        <v>0x0</v>
      </c>
    </row>
    <row r="77" spans="2:39" ht="15.75" thickBot="1" x14ac:dyDescent="0.3">
      <c r="B77" s="7"/>
      <c r="C77" s="7"/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1</v>
      </c>
      <c r="AI77" s="8">
        <v>0</v>
      </c>
      <c r="AJ77" s="9" t="str">
        <f t="shared" ref="AJ77" si="60">"0x" &amp; DEC2HEX(BIN2DEC(_xlfn.TEXTJOIN("",FALSE,D77,E77,F77,G77,H77,I77,J77,K77)))</f>
        <v>0x0</v>
      </c>
      <c r="AK77" s="9" t="str">
        <f t="shared" ref="AK77" si="61">"0x" &amp; DEC2HEX(BIN2DEC(_xlfn.TEXTJOIN("",FALSE,L77,M77,N77,O77,P77,Q77,R77,S77)))</f>
        <v>0x0</v>
      </c>
      <c r="AL77" s="9" t="str">
        <f t="shared" ref="AL77" si="62">"0x" &amp; DEC2HEX(BIN2DEC(_xlfn.TEXTJOIN("",FALSE,T77,U77,V77,W77,X77,Y77,Z77,AA77)))</f>
        <v>0x0</v>
      </c>
      <c r="AM77" s="9" t="str">
        <f t="shared" ref="AM77" si="63">"0x" &amp; DEC2HEX(BIN2DEC(_xlfn.TEXTJOIN("",FALSE,AB77,AC77,AD77,AE77,AF77,AG77,AH77,AI77)))</f>
        <v>0x2</v>
      </c>
    </row>
    <row r="78" spans="2:39" x14ac:dyDescent="0.25">
      <c r="B78" s="4" t="s">
        <v>39</v>
      </c>
      <c r="C78" s="4" t="s">
        <v>60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1</v>
      </c>
      <c r="M78" s="5">
        <v>0</v>
      </c>
      <c r="N78" s="5">
        <v>0</v>
      </c>
      <c r="O78" s="5">
        <v>0</v>
      </c>
      <c r="P78" s="5">
        <v>1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6" t="str">
        <f t="shared" si="0"/>
        <v>0x0</v>
      </c>
      <c r="AK78" s="6" t="str">
        <f t="shared" si="1"/>
        <v>0x88</v>
      </c>
      <c r="AL78" s="6" t="str">
        <f t="shared" si="2"/>
        <v>0x0</v>
      </c>
      <c r="AM78" s="6" t="str">
        <f t="shared" si="3"/>
        <v>0x0</v>
      </c>
    </row>
    <row r="79" spans="2:39" ht="15.75" thickBot="1" x14ac:dyDescent="0.3">
      <c r="B79" s="7"/>
      <c r="C79" s="7"/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1</v>
      </c>
      <c r="AI79" s="8">
        <v>0</v>
      </c>
      <c r="AJ79" s="9" t="str">
        <f t="shared" ref="AJ79" si="64">"0x" &amp; DEC2HEX(BIN2DEC(_xlfn.TEXTJOIN("",FALSE,D79,E79,F79,G79,H79,I79,J79,K79)))</f>
        <v>0x0</v>
      </c>
      <c r="AK79" s="9" t="str">
        <f t="shared" ref="AK79" si="65">"0x" &amp; DEC2HEX(BIN2DEC(_xlfn.TEXTJOIN("",FALSE,L79,M79,N79,O79,P79,Q79,R79,S79)))</f>
        <v>0x0</v>
      </c>
      <c r="AL79" s="9" t="str">
        <f t="shared" ref="AL79" si="66">"0x" &amp; DEC2HEX(BIN2DEC(_xlfn.TEXTJOIN("",FALSE,T79,U79,V79,W79,X79,Y79,Z79,AA79)))</f>
        <v>0x0</v>
      </c>
      <c r="AM79" s="9" t="str">
        <f t="shared" ref="AM79" si="67">"0x" &amp; DEC2HEX(BIN2DEC(_xlfn.TEXTJOIN("",FALSE,AB79,AC79,AD79,AE79,AF79,AG79,AH79,AI79)))</f>
        <v>0x2</v>
      </c>
    </row>
    <row r="80" spans="2:39" x14ac:dyDescent="0.25">
      <c r="B80" s="4" t="s">
        <v>52</v>
      </c>
      <c r="C80" s="4" t="s">
        <v>61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1</v>
      </c>
      <c r="M80" s="5">
        <v>0</v>
      </c>
      <c r="N80" s="5">
        <v>0</v>
      </c>
      <c r="O80" s="5">
        <v>0</v>
      </c>
      <c r="P80" s="5">
        <v>0</v>
      </c>
      <c r="Q80" s="5">
        <v>1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6" t="str">
        <f t="shared" si="0"/>
        <v>0x0</v>
      </c>
      <c r="AK80" s="6" t="str">
        <f t="shared" si="1"/>
        <v>0x84</v>
      </c>
      <c r="AL80" s="6" t="str">
        <f t="shared" si="2"/>
        <v>0x0</v>
      </c>
      <c r="AM80" s="6" t="str">
        <f t="shared" si="3"/>
        <v>0x0</v>
      </c>
    </row>
    <row r="81" spans="2:39" ht="15.75" thickBot="1" x14ac:dyDescent="0.3">
      <c r="B81" s="7"/>
      <c r="C81" s="7"/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1</v>
      </c>
      <c r="AI81" s="8">
        <v>0</v>
      </c>
      <c r="AJ81" s="9" t="str">
        <f t="shared" ref="AJ81" si="68">"0x" &amp; DEC2HEX(BIN2DEC(_xlfn.TEXTJOIN("",FALSE,D81,E81,F81,G81,H81,I81,J81,K81)))</f>
        <v>0x0</v>
      </c>
      <c r="AK81" s="9" t="str">
        <f t="shared" ref="AK81" si="69">"0x" &amp; DEC2HEX(BIN2DEC(_xlfn.TEXTJOIN("",FALSE,L81,M81,N81,O81,P81,Q81,R81,S81)))</f>
        <v>0x0</v>
      </c>
      <c r="AL81" s="9" t="str">
        <f t="shared" ref="AL81" si="70">"0x" &amp; DEC2HEX(BIN2DEC(_xlfn.TEXTJOIN("",FALSE,T81,U81,V81,W81,X81,Y81,Z81,AA81)))</f>
        <v>0x0</v>
      </c>
      <c r="AM81" s="9" t="str">
        <f t="shared" ref="AM81" si="71">"0x" &amp; DEC2HEX(BIN2DEC(_xlfn.TEXTJOIN("",FALSE,AB81,AC81,AD81,AE81,AF81,AG81,AH81,AI81)))</f>
        <v>0x2</v>
      </c>
    </row>
    <row r="82" spans="2:39" x14ac:dyDescent="0.25">
      <c r="B82" s="4" t="s">
        <v>40</v>
      </c>
      <c r="C82" s="4" t="s">
        <v>62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1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1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6" t="str">
        <f t="shared" si="0"/>
        <v>0x0</v>
      </c>
      <c r="AK82" s="6" t="str">
        <f t="shared" si="1"/>
        <v>0x82</v>
      </c>
      <c r="AL82" s="6" t="str">
        <f t="shared" si="2"/>
        <v>0x0</v>
      </c>
      <c r="AM82" s="6" t="str">
        <f t="shared" si="3"/>
        <v>0x0</v>
      </c>
    </row>
    <row r="83" spans="2:39" ht="15.75" thickBot="1" x14ac:dyDescent="0.3">
      <c r="B83" s="7"/>
      <c r="C83" s="7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1</v>
      </c>
      <c r="AI83" s="8">
        <v>0</v>
      </c>
      <c r="AJ83" s="9" t="str">
        <f t="shared" ref="AJ83" si="72">"0x" &amp; DEC2HEX(BIN2DEC(_xlfn.TEXTJOIN("",FALSE,D83,E83,F83,G83,H83,I83,J83,K83)))</f>
        <v>0x0</v>
      </c>
      <c r="AK83" s="9" t="str">
        <f t="shared" ref="AK83" si="73">"0x" &amp; DEC2HEX(BIN2DEC(_xlfn.TEXTJOIN("",FALSE,L83,M83,N83,O83,P83,Q83,R83,S83)))</f>
        <v>0x0</v>
      </c>
      <c r="AL83" s="9" t="str">
        <f t="shared" ref="AL83" si="74">"0x" &amp; DEC2HEX(BIN2DEC(_xlfn.TEXTJOIN("",FALSE,T83,U83,V83,W83,X83,Y83,Z83,AA83)))</f>
        <v>0x0</v>
      </c>
      <c r="AM83" s="9" t="str">
        <f t="shared" ref="AM83" si="75">"0x" &amp; DEC2HEX(BIN2DEC(_xlfn.TEXTJOIN("",FALSE,AB83,AC83,AD83,AE83,AF83,AG83,AH83,AI83)))</f>
        <v>0x2</v>
      </c>
    </row>
    <row r="84" spans="2:39" x14ac:dyDescent="0.25">
      <c r="B84" s="4" t="s">
        <v>41</v>
      </c>
      <c r="C84" s="4" t="s">
        <v>73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1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1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6" t="str">
        <f t="shared" si="0"/>
        <v>0x0</v>
      </c>
      <c r="AK84" s="6" t="str">
        <f t="shared" si="1"/>
        <v>0x81</v>
      </c>
      <c r="AL84" s="6" t="str">
        <f t="shared" si="2"/>
        <v>0x0</v>
      </c>
      <c r="AM84" s="6" t="str">
        <f t="shared" si="3"/>
        <v>0x0</v>
      </c>
    </row>
    <row r="85" spans="2:39" ht="15.75" thickBot="1" x14ac:dyDescent="0.3">
      <c r="B85" s="7"/>
      <c r="C85" s="7"/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1</v>
      </c>
      <c r="AI85" s="8">
        <v>0</v>
      </c>
      <c r="AJ85" s="9" t="str">
        <f t="shared" ref="AJ85" si="76">"0x" &amp; DEC2HEX(BIN2DEC(_xlfn.TEXTJOIN("",FALSE,D85,E85,F85,G85,H85,I85,J85,K85)))</f>
        <v>0x0</v>
      </c>
      <c r="AK85" s="9" t="str">
        <f t="shared" ref="AK85" si="77">"0x" &amp; DEC2HEX(BIN2DEC(_xlfn.TEXTJOIN("",FALSE,L85,M85,N85,O85,P85,Q85,R85,S85)))</f>
        <v>0x0</v>
      </c>
      <c r="AL85" s="9" t="str">
        <f t="shared" ref="AL85" si="78">"0x" &amp; DEC2HEX(BIN2DEC(_xlfn.TEXTJOIN("",FALSE,T85,U85,V85,W85,X85,Y85,Z85,AA85)))</f>
        <v>0x0</v>
      </c>
      <c r="AM85" s="9" t="str">
        <f t="shared" ref="AM85" si="79">"0x" &amp; DEC2HEX(BIN2DEC(_xlfn.TEXTJOIN("",FALSE,AB85,AC85,AD85,AE85,AF85,AG85,AH85,AI85)))</f>
        <v>0x2</v>
      </c>
    </row>
    <row r="86" spans="2:39" x14ac:dyDescent="0.25">
      <c r="B86" s="4" t="s">
        <v>44</v>
      </c>
      <c r="C86" s="4" t="s">
        <v>74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1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1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6" t="str">
        <f t="shared" si="0"/>
        <v>0x0</v>
      </c>
      <c r="AK86" s="6" t="str">
        <f t="shared" si="1"/>
        <v>0x80</v>
      </c>
      <c r="AL86" s="6" t="str">
        <f t="shared" si="2"/>
        <v>0x80</v>
      </c>
      <c r="AM86" s="6" t="str">
        <f t="shared" si="3"/>
        <v>0x0</v>
      </c>
    </row>
    <row r="87" spans="2:39" ht="15.75" thickBot="1" x14ac:dyDescent="0.3">
      <c r="B87" s="7"/>
      <c r="C87" s="7"/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1</v>
      </c>
      <c r="AI87" s="8">
        <v>0</v>
      </c>
      <c r="AJ87" s="9" t="str">
        <f t="shared" ref="AJ87" si="80">"0x" &amp; DEC2HEX(BIN2DEC(_xlfn.TEXTJOIN("",FALSE,D87,E87,F87,G87,H87,I87,J87,K87)))</f>
        <v>0x0</v>
      </c>
      <c r="AK87" s="9" t="str">
        <f t="shared" ref="AK87" si="81">"0x" &amp; DEC2HEX(BIN2DEC(_xlfn.TEXTJOIN("",FALSE,L87,M87,N87,O87,P87,Q87,R87,S87)))</f>
        <v>0x0</v>
      </c>
      <c r="AL87" s="9" t="str">
        <f t="shared" ref="AL87" si="82">"0x" &amp; DEC2HEX(BIN2DEC(_xlfn.TEXTJOIN("",FALSE,T87,U87,V87,W87,X87,Y87,Z87,AA87)))</f>
        <v>0x0</v>
      </c>
      <c r="AM87" s="9" t="str">
        <f t="shared" ref="AM87" si="83">"0x" &amp; DEC2HEX(BIN2DEC(_xlfn.TEXTJOIN("",FALSE,AB87,AC87,AD87,AE87,AF87,AG87,AH87,AI87)))</f>
        <v>0x2</v>
      </c>
    </row>
    <row r="88" spans="2:39" x14ac:dyDescent="0.25">
      <c r="B88" s="4" t="s">
        <v>42</v>
      </c>
      <c r="C88" s="4" t="s">
        <v>75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1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1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6" t="str">
        <f t="shared" si="0"/>
        <v>0x0</v>
      </c>
      <c r="AK88" s="6" t="str">
        <f t="shared" si="1"/>
        <v>0x80</v>
      </c>
      <c r="AL88" s="6" t="str">
        <f t="shared" si="2"/>
        <v>0x40</v>
      </c>
      <c r="AM88" s="6" t="str">
        <f t="shared" si="3"/>
        <v>0x0</v>
      </c>
    </row>
    <row r="89" spans="2:39" ht="15.75" thickBot="1" x14ac:dyDescent="0.3">
      <c r="B89" s="7"/>
      <c r="C89" s="7"/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1</v>
      </c>
      <c r="AI89" s="8">
        <v>0</v>
      </c>
      <c r="AJ89" s="9" t="str">
        <f t="shared" ref="AJ89" si="84">"0x" &amp; DEC2HEX(BIN2DEC(_xlfn.TEXTJOIN("",FALSE,D89,E89,F89,G89,H89,I89,J89,K89)))</f>
        <v>0x0</v>
      </c>
      <c r="AK89" s="9" t="str">
        <f t="shared" ref="AK89" si="85">"0x" &amp; DEC2HEX(BIN2DEC(_xlfn.TEXTJOIN("",FALSE,L89,M89,N89,O89,P89,Q89,R89,S89)))</f>
        <v>0x0</v>
      </c>
      <c r="AL89" s="9" t="str">
        <f t="shared" ref="AL89" si="86">"0x" &amp; DEC2HEX(BIN2DEC(_xlfn.TEXTJOIN("",FALSE,T89,U89,V89,W89,X89,Y89,Z89,AA89)))</f>
        <v>0x0</v>
      </c>
      <c r="AM89" s="9" t="str">
        <f t="shared" ref="AM89" si="87">"0x" &amp; DEC2HEX(BIN2DEC(_xlfn.TEXTJOIN("",FALSE,AB89,AC89,AD89,AE89,AF89,AG89,AH89,AI89)))</f>
        <v>0x2</v>
      </c>
    </row>
    <row r="90" spans="2:39" x14ac:dyDescent="0.25">
      <c r="B90" s="4" t="s">
        <v>53</v>
      </c>
      <c r="C90" s="4" t="s">
        <v>87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1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1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6" t="str">
        <f t="shared" si="0"/>
        <v>0x0</v>
      </c>
      <c r="AK90" s="6" t="str">
        <f t="shared" si="1"/>
        <v>0x80</v>
      </c>
      <c r="AL90" s="6" t="str">
        <f t="shared" si="2"/>
        <v>0x20</v>
      </c>
      <c r="AM90" s="6" t="str">
        <f t="shared" si="3"/>
        <v>0x0</v>
      </c>
    </row>
    <row r="91" spans="2:39" ht="15.75" thickBot="1" x14ac:dyDescent="0.3">
      <c r="B91" s="7"/>
      <c r="C91" s="7"/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1</v>
      </c>
      <c r="AI91" s="8">
        <v>0</v>
      </c>
      <c r="AJ91" s="9" t="str">
        <f t="shared" ref="AJ91" si="88">"0x" &amp; DEC2HEX(BIN2DEC(_xlfn.TEXTJOIN("",FALSE,D91,E91,F91,G91,H91,I91,J91,K91)))</f>
        <v>0x0</v>
      </c>
      <c r="AK91" s="9" t="str">
        <f t="shared" ref="AK91" si="89">"0x" &amp; DEC2HEX(BIN2DEC(_xlfn.TEXTJOIN("",FALSE,L91,M91,N91,O91,P91,Q91,R91,S91)))</f>
        <v>0x0</v>
      </c>
      <c r="AL91" s="9" t="str">
        <f t="shared" ref="AL91" si="90">"0x" &amp; DEC2HEX(BIN2DEC(_xlfn.TEXTJOIN("",FALSE,T91,U91,V91,W91,X91,Y91,Z91,AA91)))</f>
        <v>0x0</v>
      </c>
      <c r="AM91" s="9" t="str">
        <f t="shared" ref="AM91" si="91">"0x" &amp; DEC2HEX(BIN2DEC(_xlfn.TEXTJOIN("",FALSE,AB91,AC91,AD91,AE91,AF91,AG91,AH91,AI91)))</f>
        <v>0x2</v>
      </c>
    </row>
    <row r="92" spans="2:39" x14ac:dyDescent="0.25">
      <c r="B92" s="4" t="s">
        <v>54</v>
      </c>
      <c r="C92" s="4" t="s">
        <v>88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1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1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6" t="str">
        <f t="shared" si="0"/>
        <v>0x0</v>
      </c>
      <c r="AK92" s="6" t="str">
        <f t="shared" si="1"/>
        <v>0x80</v>
      </c>
      <c r="AL92" s="6" t="str">
        <f t="shared" si="2"/>
        <v>0x10</v>
      </c>
      <c r="AM92" s="6" t="str">
        <f t="shared" si="3"/>
        <v>0x0</v>
      </c>
    </row>
    <row r="93" spans="2:39" ht="15.75" thickBot="1" x14ac:dyDescent="0.3">
      <c r="B93" s="7"/>
      <c r="C93" s="7"/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1</v>
      </c>
      <c r="AI93" s="8">
        <v>0</v>
      </c>
      <c r="AJ93" s="9" t="str">
        <f t="shared" ref="AJ93" si="92">"0x" &amp; DEC2HEX(BIN2DEC(_xlfn.TEXTJOIN("",FALSE,D93,E93,F93,G93,H93,I93,J93,K93)))</f>
        <v>0x0</v>
      </c>
      <c r="AK93" s="9" t="str">
        <f t="shared" ref="AK93" si="93">"0x" &amp; DEC2HEX(BIN2DEC(_xlfn.TEXTJOIN("",FALSE,L93,M93,N93,O93,P93,Q93,R93,S93)))</f>
        <v>0x0</v>
      </c>
      <c r="AL93" s="9" t="str">
        <f t="shared" ref="AL93" si="94">"0x" &amp; DEC2HEX(BIN2DEC(_xlfn.TEXTJOIN("",FALSE,T93,U93,V93,W93,X93,Y93,Z93,AA93)))</f>
        <v>0x0</v>
      </c>
      <c r="AM93" s="9" t="str">
        <f t="shared" ref="AM93" si="95">"0x" &amp; DEC2HEX(BIN2DEC(_xlfn.TEXTJOIN("",FALSE,AB93,AC93,AD93,AE93,AF93,AG93,AH93,AI93)))</f>
        <v>0x2</v>
      </c>
    </row>
    <row r="94" spans="2:39" x14ac:dyDescent="0.25">
      <c r="B94" s="4" t="s">
        <v>76</v>
      </c>
      <c r="C94" s="4" t="s">
        <v>89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1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6" t="str">
        <f>"0x" &amp; DEC2HEX(BIN2DEC(_xlfn.TEXTJOIN("",FALSE,D94,E94,F94,G94,H94,I94,J94,K94)))</f>
        <v>0x0</v>
      </c>
      <c r="AK94" s="6" t="str">
        <f>"0x" &amp; DEC2HEX(BIN2DEC(_xlfn.TEXTJOIN("",FALSE,L94,M94,N94,O94,P94,Q94,R94,S94)))</f>
        <v>0x8</v>
      </c>
      <c r="AL94" s="6" t="str">
        <f>"0x" &amp; DEC2HEX(BIN2DEC(_xlfn.TEXTJOIN("",FALSE,T94,U94,V94,W94,X94,Y94,Z94,AA94)))</f>
        <v>0x0</v>
      </c>
      <c r="AM94" s="6" t="str">
        <f>"0x" &amp; DEC2HEX(BIN2DEC(_xlfn.TEXTJOIN("",FALSE,AB94,AC94,AD94,AE94,AF94,AG94,AH94,AI94)))</f>
        <v>0x0</v>
      </c>
    </row>
    <row r="95" spans="2:39" ht="15.75" thickBot="1" x14ac:dyDescent="0.3">
      <c r="B95" s="7"/>
      <c r="C95" s="7"/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1</v>
      </c>
      <c r="AI95" s="8">
        <v>0</v>
      </c>
      <c r="AJ95" s="9" t="str">
        <f t="shared" ref="AJ95" si="96">"0x" &amp; DEC2HEX(BIN2DEC(_xlfn.TEXTJOIN("",FALSE,D95,E95,F95,G95,H95,I95,J95,K95)))</f>
        <v>0x0</v>
      </c>
      <c r="AK95" s="9" t="str">
        <f t="shared" ref="AK95" si="97">"0x" &amp; DEC2HEX(BIN2DEC(_xlfn.TEXTJOIN("",FALSE,L95,M95,N95,O95,P95,Q95,R95,S95)))</f>
        <v>0x0</v>
      </c>
      <c r="AL95" s="9" t="str">
        <f t="shared" ref="AL95" si="98">"0x" &amp; DEC2HEX(BIN2DEC(_xlfn.TEXTJOIN("",FALSE,T95,U95,V95,W95,X95,Y95,Z95,AA95)))</f>
        <v>0x0</v>
      </c>
      <c r="AM95" s="9" t="str">
        <f t="shared" ref="AM95" si="99">"0x" &amp; DEC2HEX(BIN2DEC(_xlfn.TEXTJOIN("",FALSE,AB95,AC95,AD95,AE95,AF95,AG95,AH95,AI95)))</f>
        <v>0x2</v>
      </c>
    </row>
    <row r="96" spans="2:39" x14ac:dyDescent="0.25">
      <c r="B96" s="4" t="s">
        <v>124</v>
      </c>
      <c r="C96" s="4" t="s">
        <v>90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1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1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6" t="str">
        <f>"0x" &amp; DEC2HEX(BIN2DEC(_xlfn.TEXTJOIN("",FALSE,D96,E96,F96,G96,H96,I96,J96,K96)))</f>
        <v>0x1</v>
      </c>
      <c r="AK96" s="6" t="str">
        <f>"0x" &amp; DEC2HEX(BIN2DEC(_xlfn.TEXTJOIN("",FALSE,L96,M96,N96,O96,P96,Q96,R96,S96)))</f>
        <v>0x0</v>
      </c>
      <c r="AL96" s="6" t="str">
        <f>"0x" &amp; DEC2HEX(BIN2DEC(_xlfn.TEXTJOIN("",FALSE,T96,U96,V96,W96,X96,Y96,Z96,AA96)))</f>
        <v>0x8</v>
      </c>
      <c r="AM96" s="6" t="str">
        <f>"0x" &amp; DEC2HEX(BIN2DEC(_xlfn.TEXTJOIN("",FALSE,AB96,AC96,AD96,AE96,AF96,AG96,AH96,AI96)))</f>
        <v>0x0</v>
      </c>
    </row>
    <row r="97" spans="2:39" ht="15.75" thickBot="1" x14ac:dyDescent="0.3">
      <c r="B97" s="7"/>
      <c r="C97" s="7"/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1</v>
      </c>
      <c r="AI97" s="8">
        <v>0</v>
      </c>
      <c r="AJ97" s="9" t="str">
        <f t="shared" ref="AJ97" si="100">"0x" &amp; DEC2HEX(BIN2DEC(_xlfn.TEXTJOIN("",FALSE,D97,E97,F97,G97,H97,I97,J97,K97)))</f>
        <v>0x0</v>
      </c>
      <c r="AK97" s="9" t="str">
        <f t="shared" ref="AK97" si="101">"0x" &amp; DEC2HEX(BIN2DEC(_xlfn.TEXTJOIN("",FALSE,L97,M97,N97,O97,P97,Q97,R97,S97)))</f>
        <v>0x0</v>
      </c>
      <c r="AL97" s="9" t="str">
        <f t="shared" ref="AL97" si="102">"0x" &amp; DEC2HEX(BIN2DEC(_xlfn.TEXTJOIN("",FALSE,T97,U97,V97,W97,X97,Y97,Z97,AA97)))</f>
        <v>0x0</v>
      </c>
      <c r="AM97" s="9" t="str">
        <f t="shared" ref="AM97" si="103">"0x" &amp; DEC2HEX(BIN2DEC(_xlfn.TEXTJOIN("",FALSE,AB97,AC97,AD97,AE97,AF97,AG97,AH97,AI97)))</f>
        <v>0x2</v>
      </c>
    </row>
    <row r="98" spans="2:39" x14ac:dyDescent="0.25">
      <c r="B98" s="4" t="s">
        <v>125</v>
      </c>
      <c r="C98" s="4" t="s">
        <v>91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1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1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6" t="str">
        <f>"0x" &amp; DEC2HEX(BIN2DEC(_xlfn.TEXTJOIN("",FALSE,D98,E98,F98,G98,H98,I98,J98,K98)))</f>
        <v>0x1</v>
      </c>
      <c r="AK98" s="6" t="str">
        <f>"0x" &amp; DEC2HEX(BIN2DEC(_xlfn.TEXTJOIN("",FALSE,L98,M98,N98,O98,P98,Q98,R98,S98)))</f>
        <v>0x0</v>
      </c>
      <c r="AL98" s="6" t="str">
        <f>"0x" &amp; DEC2HEX(BIN2DEC(_xlfn.TEXTJOIN("",FALSE,T98,U98,V98,W98,X98,Y98,Z98,AA98)))</f>
        <v>0x4</v>
      </c>
      <c r="AM98" s="6" t="str">
        <f>"0x" &amp; DEC2HEX(BIN2DEC(_xlfn.TEXTJOIN("",FALSE,AB98,AC98,AD98,AE98,AF98,AG98,AH98,AI98)))</f>
        <v>0x0</v>
      </c>
    </row>
    <row r="99" spans="2:39" ht="15.75" thickBot="1" x14ac:dyDescent="0.3">
      <c r="B99" s="7"/>
      <c r="C99" s="7"/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1</v>
      </c>
      <c r="AI99" s="8">
        <v>0</v>
      </c>
      <c r="AJ99" s="9" t="str">
        <f t="shared" ref="AJ99" si="104">"0x" &amp; DEC2HEX(BIN2DEC(_xlfn.TEXTJOIN("",FALSE,D99,E99,F99,G99,H99,I99,J99,K99)))</f>
        <v>0x0</v>
      </c>
      <c r="AK99" s="9" t="str">
        <f t="shared" ref="AK99" si="105">"0x" &amp; DEC2HEX(BIN2DEC(_xlfn.TEXTJOIN("",FALSE,L99,M99,N99,O99,P99,Q99,R99,S99)))</f>
        <v>0x0</v>
      </c>
      <c r="AL99" s="9" t="str">
        <f t="shared" ref="AL99" si="106">"0x" &amp; DEC2HEX(BIN2DEC(_xlfn.TEXTJOIN("",FALSE,T99,U99,V99,W99,X99,Y99,Z99,AA99)))</f>
        <v>0x0</v>
      </c>
      <c r="AM99" s="9" t="str">
        <f t="shared" ref="AM99" si="107">"0x" &amp; DEC2HEX(BIN2DEC(_xlfn.TEXTJOIN("",FALSE,AB99,AC99,AD99,AE99,AF99,AG99,AH99,AI99)))</f>
        <v>0x2</v>
      </c>
    </row>
    <row r="100" spans="2:39" x14ac:dyDescent="0.25">
      <c r="B100" s="4" t="s">
        <v>126</v>
      </c>
      <c r="C100" s="4" t="s">
        <v>128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1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1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6" t="str">
        <f>"0x" &amp; DEC2HEX(BIN2DEC(_xlfn.TEXTJOIN("",FALSE,D100,E100,F100,G100,H100,I100,J100,K100)))</f>
        <v>0x1</v>
      </c>
      <c r="AK100" s="6" t="str">
        <f>"0x" &amp; DEC2HEX(BIN2DEC(_xlfn.TEXTJOIN("",FALSE,L100,M100,N100,O100,P100,Q100,R100,S100)))</f>
        <v>0x0</v>
      </c>
      <c r="AL100" s="6" t="str">
        <f>"0x" &amp; DEC2HEX(BIN2DEC(_xlfn.TEXTJOIN("",FALSE,T100,U100,V100,W100,X100,Y100,Z100,AA100)))</f>
        <v>0x2</v>
      </c>
      <c r="AM100" s="6" t="str">
        <f>"0x" &amp; DEC2HEX(BIN2DEC(_xlfn.TEXTJOIN("",FALSE,AB100,AC100,AD100,AE100,AF100,AG100,AH100,AI100)))</f>
        <v>0x0</v>
      </c>
    </row>
    <row r="101" spans="2:39" ht="15.75" thickBot="1" x14ac:dyDescent="0.3">
      <c r="B101" s="7"/>
      <c r="C101" s="7"/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1</v>
      </c>
      <c r="AI101" s="8">
        <v>0</v>
      </c>
      <c r="AJ101" s="9" t="str">
        <f t="shared" ref="AJ101" si="108">"0x" &amp; DEC2HEX(BIN2DEC(_xlfn.TEXTJOIN("",FALSE,D101,E101,F101,G101,H101,I101,J101,K101)))</f>
        <v>0x0</v>
      </c>
      <c r="AK101" s="9" t="str">
        <f t="shared" ref="AK101" si="109">"0x" &amp; DEC2HEX(BIN2DEC(_xlfn.TEXTJOIN("",FALSE,L101,M101,N101,O101,P101,Q101,R101,S101)))</f>
        <v>0x0</v>
      </c>
      <c r="AL101" s="9" t="str">
        <f t="shared" ref="AL101" si="110">"0x" &amp; DEC2HEX(BIN2DEC(_xlfn.TEXTJOIN("",FALSE,T101,U101,V101,W101,X101,Y101,Z101,AA101)))</f>
        <v>0x0</v>
      </c>
      <c r="AM101" s="9" t="str">
        <f t="shared" ref="AM101" si="111">"0x" &amp; DEC2HEX(BIN2DEC(_xlfn.TEXTJOIN("",FALSE,AB101,AC101,AD101,AE101,AF101,AG101,AH101,AI101)))</f>
        <v>0x2</v>
      </c>
    </row>
    <row r="102" spans="2:39" x14ac:dyDescent="0.25">
      <c r="B102" s="4" t="s">
        <v>127</v>
      </c>
      <c r="C102" s="4" t="s">
        <v>63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1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1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6" t="str">
        <f>"0x" &amp; DEC2HEX(BIN2DEC(_xlfn.TEXTJOIN("",FALSE,D102,E102,F102,G102,H102,I102,J102,K102)))</f>
        <v>0x1</v>
      </c>
      <c r="AK102" s="6" t="str">
        <f>"0x" &amp; DEC2HEX(BIN2DEC(_xlfn.TEXTJOIN("",FALSE,L102,M102,N102,O102,P102,Q102,R102,S102)))</f>
        <v>0x0</v>
      </c>
      <c r="AL102" s="6" t="str">
        <f>"0x" &amp; DEC2HEX(BIN2DEC(_xlfn.TEXTJOIN("",FALSE,T102,U102,V102,W102,X102,Y102,Z102,AA102)))</f>
        <v>0x1</v>
      </c>
      <c r="AM102" s="6" t="str">
        <f>"0x" &amp; DEC2HEX(BIN2DEC(_xlfn.TEXTJOIN("",FALSE,AB102,AC102,AD102,AE102,AF102,AG102,AH102,AI102)))</f>
        <v>0x0</v>
      </c>
    </row>
    <row r="103" spans="2:39" x14ac:dyDescent="0.25">
      <c r="B103" s="3"/>
      <c r="C103" s="3"/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1</v>
      </c>
      <c r="AI103" s="1">
        <v>0</v>
      </c>
      <c r="AJ103" s="6" t="str">
        <f t="shared" ref="AJ103" si="112">"0x" &amp; DEC2HEX(BIN2DEC(_xlfn.TEXTJOIN("",FALSE,D103,E103,F103,G103,H103,I103,J103,K103)))</f>
        <v>0x0</v>
      </c>
      <c r="AK103" s="6" t="str">
        <f t="shared" ref="AK103" si="113">"0x" &amp; DEC2HEX(BIN2DEC(_xlfn.TEXTJOIN("",FALSE,L103,M103,N103,O103,P103,Q103,R103,S103)))</f>
        <v>0x0</v>
      </c>
      <c r="AL103" s="6" t="str">
        <f t="shared" ref="AL103" si="114">"0x" &amp; DEC2HEX(BIN2DEC(_xlfn.TEXTJOIN("",FALSE,T103,U103,V103,W103,X103,Y103,Z103,AA103)))</f>
        <v>0x0</v>
      </c>
      <c r="AM103" s="6" t="str">
        <f t="shared" ref="AM103" si="115">"0x" &amp; DEC2HEX(BIN2DEC(_xlfn.TEXTJOIN("",FALSE,AB103,AC103,AD103,AE103,AF103,AG103,AH103,AI103)))</f>
        <v>0x2</v>
      </c>
    </row>
  </sheetData>
  <mergeCells count="1">
    <mergeCell ref="AJ2:AM2"/>
  </mergeCells>
  <phoneticPr fontId="3" type="noConversion"/>
  <conditionalFormatting sqref="D4:AI95">
    <cfRule type="cellIs" dxfId="13" priority="46" operator="equal">
      <formula>1</formula>
    </cfRule>
    <cfRule type="cellIs" dxfId="12" priority="48" operator="equal">
      <formula>1</formula>
    </cfRule>
  </conditionalFormatting>
  <conditionalFormatting sqref="D4:AI103">
    <cfRule type="cellIs" dxfId="11" priority="2" operator="equal">
      <formula>0</formula>
    </cfRule>
  </conditionalFormatting>
  <conditionalFormatting sqref="D94:AI97">
    <cfRule type="cellIs" dxfId="10" priority="22" operator="equal">
      <formula>1</formula>
    </cfRule>
    <cfRule type="cellIs" dxfId="9" priority="24" operator="equal">
      <formula>1</formula>
    </cfRule>
  </conditionalFormatting>
  <conditionalFormatting sqref="D96:AI99">
    <cfRule type="cellIs" dxfId="8" priority="16" operator="equal">
      <formula>1</formula>
    </cfRule>
    <cfRule type="cellIs" dxfId="7" priority="18" operator="equal">
      <formula>1</formula>
    </cfRule>
  </conditionalFormatting>
  <conditionalFormatting sqref="D98:AI101">
    <cfRule type="cellIs" dxfId="6" priority="10" operator="equal">
      <formula>1</formula>
    </cfRule>
    <cfRule type="cellIs" dxfId="5" priority="12" operator="equal">
      <formula>1</formula>
    </cfRule>
  </conditionalFormatting>
  <conditionalFormatting sqref="D100:AI103 AK4:AL103">
    <cfRule type="cellIs" dxfId="4" priority="4" operator="equal">
      <formula>1</formula>
    </cfRule>
  </conditionalFormatting>
  <conditionalFormatting sqref="D102:AI103">
    <cfRule type="cellIs" dxfId="3" priority="1" operator="equal">
      <formula>1</formula>
    </cfRule>
    <cfRule type="cellIs" dxfId="2" priority="3" operator="equal">
      <formula>1</formula>
    </cfRule>
  </conditionalFormatting>
  <conditionalFormatting sqref="AK4:AL103 D100:AI103">
    <cfRule type="cellIs" dxfId="1" priority="6" operator="equal">
      <formula>1</formula>
    </cfRule>
  </conditionalFormatting>
  <conditionalFormatting sqref="AK4:AL103">
    <cfRule type="cellIs" dxfId="0" priority="5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BCBA-8DB1-49E6-9151-085A009FF683}">
  <dimension ref="B2:F18"/>
  <sheetViews>
    <sheetView workbookViewId="0">
      <selection activeCell="G12" sqref="G12"/>
    </sheetView>
  </sheetViews>
  <sheetFormatPr defaultRowHeight="15" x14ac:dyDescent="0.25"/>
  <cols>
    <col min="3" max="3" width="9.42578125" bestFit="1" customWidth="1"/>
  </cols>
  <sheetData>
    <row r="2" spans="2:6" x14ac:dyDescent="0.25">
      <c r="B2" t="s">
        <v>110</v>
      </c>
      <c r="C2" t="s">
        <v>113</v>
      </c>
      <c r="E2" t="s">
        <v>133</v>
      </c>
      <c r="F2" t="s">
        <v>134</v>
      </c>
    </row>
    <row r="3" spans="2:6" x14ac:dyDescent="0.25">
      <c r="B3" t="s">
        <v>111</v>
      </c>
      <c r="C3" t="s">
        <v>114</v>
      </c>
      <c r="E3" t="s">
        <v>129</v>
      </c>
      <c r="F3" t="s">
        <v>90</v>
      </c>
    </row>
    <row r="4" spans="2:6" x14ac:dyDescent="0.25">
      <c r="B4" t="s">
        <v>38</v>
      </c>
      <c r="C4" t="s">
        <v>59</v>
      </c>
      <c r="E4" t="s">
        <v>133</v>
      </c>
      <c r="F4" t="s">
        <v>135</v>
      </c>
    </row>
    <row r="5" spans="2:6" x14ac:dyDescent="0.25">
      <c r="B5" t="s">
        <v>112</v>
      </c>
      <c r="C5" t="s">
        <v>115</v>
      </c>
      <c r="E5" t="s">
        <v>130</v>
      </c>
      <c r="F5" t="s">
        <v>91</v>
      </c>
    </row>
    <row r="6" spans="2:6" x14ac:dyDescent="0.25">
      <c r="B6" t="s">
        <v>76</v>
      </c>
      <c r="C6" t="s">
        <v>89</v>
      </c>
      <c r="E6" t="s">
        <v>133</v>
      </c>
      <c r="F6" t="s">
        <v>136</v>
      </c>
    </row>
    <row r="7" spans="2:6" x14ac:dyDescent="0.25">
      <c r="B7" t="s">
        <v>117</v>
      </c>
      <c r="C7" t="s">
        <v>116</v>
      </c>
      <c r="E7" t="s">
        <v>132</v>
      </c>
      <c r="F7" t="s">
        <v>128</v>
      </c>
    </row>
    <row r="8" spans="2:6" x14ac:dyDescent="0.25">
      <c r="B8" t="s">
        <v>119</v>
      </c>
      <c r="C8" t="s">
        <v>118</v>
      </c>
      <c r="E8" t="s">
        <v>133</v>
      </c>
      <c r="F8" t="s">
        <v>137</v>
      </c>
    </row>
    <row r="9" spans="2:6" x14ac:dyDescent="0.25">
      <c r="E9" t="s">
        <v>131</v>
      </c>
      <c r="F9" t="s">
        <v>63</v>
      </c>
    </row>
    <row r="10" spans="2:6" x14ac:dyDescent="0.25">
      <c r="E10" t="s">
        <v>133</v>
      </c>
      <c r="F10" t="s">
        <v>113</v>
      </c>
    </row>
    <row r="11" spans="2:6" x14ac:dyDescent="0.25">
      <c r="E11" t="s">
        <v>129</v>
      </c>
      <c r="F11" t="s">
        <v>90</v>
      </c>
    </row>
    <row r="12" spans="2:6" x14ac:dyDescent="0.25">
      <c r="E12" t="s">
        <v>133</v>
      </c>
      <c r="F12" t="s">
        <v>113</v>
      </c>
    </row>
    <row r="13" spans="2:6" x14ac:dyDescent="0.25">
      <c r="E13" t="s">
        <v>130</v>
      </c>
      <c r="F13" t="s">
        <v>91</v>
      </c>
    </row>
    <row r="14" spans="2:6" x14ac:dyDescent="0.25">
      <c r="E14" t="s">
        <v>133</v>
      </c>
      <c r="F14" t="s">
        <v>113</v>
      </c>
    </row>
    <row r="15" spans="2:6" x14ac:dyDescent="0.25">
      <c r="E15" t="s">
        <v>132</v>
      </c>
      <c r="F15" t="s">
        <v>128</v>
      </c>
    </row>
    <row r="16" spans="2:6" x14ac:dyDescent="0.25">
      <c r="E16" t="s">
        <v>133</v>
      </c>
      <c r="F16" t="s">
        <v>113</v>
      </c>
    </row>
    <row r="17" spans="5:6" x14ac:dyDescent="0.25">
      <c r="E17" t="s">
        <v>131</v>
      </c>
      <c r="F17" t="s">
        <v>63</v>
      </c>
    </row>
    <row r="18" spans="5:6" x14ac:dyDescent="0.25">
      <c r="E18" t="s">
        <v>138</v>
      </c>
      <c r="F18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Tearth</dc:creator>
  <cp:lastModifiedBy>Pawel Tearth</cp:lastModifiedBy>
  <dcterms:created xsi:type="dcterms:W3CDTF">2025-10-19T09:57:32Z</dcterms:created>
  <dcterms:modified xsi:type="dcterms:W3CDTF">2025-10-26T09:40:04Z</dcterms:modified>
</cp:coreProperties>
</file>